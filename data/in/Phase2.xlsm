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GUPTA\Downloads\Data_Science\Projects\EP_Automation\src\"/>
    </mc:Choice>
  </mc:AlternateContent>
  <bookViews>
    <workbookView xWindow="23250" yWindow="0" windowWidth="15340" windowHeight="6680"/>
  </bookViews>
  <sheets>
    <sheet name="Main" sheetId="4" r:id="rId1"/>
    <sheet name="Activity_type" sheetId="3" r:id="rId2"/>
    <sheet name="mapping" sheetId="2" r:id="rId3"/>
    <sheet name="Type&amp;Month" sheetId="1" r:id="rId4"/>
  </sheets>
  <functionGroups builtInGroupCount="18"/>
  <definedNames>
    <definedName name="_xlnm._FilterDatabase" localSheetId="1" hidden="1">Activity_type!$A$1:$E$2330</definedName>
    <definedName name="_xlnm._FilterDatabase" localSheetId="2" hidden="1">mapping!$A$1:$B$406</definedName>
    <definedName name="_xlnm._FilterDatabase" localSheetId="3" hidden="1">'Type&amp;Month'!$A$1:$B$1</definedName>
    <definedName name="abrief">mapping!$A$2:$A$180</definedName>
    <definedName name="aquiry">mapping!$B$2:$B$547</definedName>
    <definedName name="cemail">mapping!$D$2:$D$6</definedName>
    <definedName name="clf">mapping!$C$2:$C$3</definedName>
    <definedName name="cphone">mapping!$F$2:$F$586</definedName>
    <definedName name="csite">mapping!$E$2:$E$33</definedName>
    <definedName name="email">mapping!$G$2:$G$674</definedName>
    <definedName name="eve">mapping!$H$2:$H$16</definedName>
    <definedName name="fnet">mapping!$I$2:$I$102</definedName>
    <definedName name="idc">mapping!$J$2</definedName>
    <definedName name="pf">mapping!$L$2:$L$50</definedName>
    <definedName name="sig">mapping!$M$2:$M$23</definedName>
    <definedName name="sum">mapping!$N$2:$N$26</definedName>
    <definedName name="sym">mapping!$O$2:$O$14</definedName>
    <definedName name="tbd">mapping!$P$2:$P$127</definedName>
    <definedName name="work">mapping!$K$2:$K$54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6" i="4" l="1"/>
  <c r="H46" i="4"/>
  <c r="G46" i="4"/>
  <c r="F46" i="4"/>
  <c r="I45" i="4"/>
  <c r="H45" i="4"/>
  <c r="G45" i="4"/>
  <c r="F45" i="4"/>
  <c r="I44" i="4"/>
  <c r="H44" i="4"/>
  <c r="G44" i="4"/>
  <c r="F44" i="4"/>
  <c r="I43" i="4"/>
  <c r="H43" i="4"/>
  <c r="G43" i="4"/>
  <c r="F43" i="4"/>
  <c r="I42" i="4"/>
  <c r="H42" i="4"/>
  <c r="G42" i="4"/>
  <c r="F42" i="4"/>
  <c r="I41" i="4"/>
  <c r="H41" i="4"/>
  <c r="G41" i="4"/>
  <c r="F41" i="4"/>
  <c r="I40" i="4"/>
  <c r="H40" i="4"/>
  <c r="G40" i="4"/>
  <c r="F40" i="4"/>
  <c r="I39" i="4"/>
  <c r="H39" i="4"/>
  <c r="G39" i="4"/>
  <c r="F39" i="4"/>
  <c r="I38" i="4"/>
  <c r="H38" i="4"/>
  <c r="G38" i="4"/>
  <c r="F38" i="4"/>
  <c r="I37" i="4"/>
  <c r="H37" i="4"/>
  <c r="G37" i="4"/>
  <c r="F37" i="4"/>
  <c r="I36" i="4"/>
  <c r="H36" i="4"/>
  <c r="G36" i="4"/>
  <c r="F36" i="4"/>
  <c r="I35" i="4"/>
  <c r="H35" i="4"/>
  <c r="G35" i="4"/>
  <c r="F35" i="4"/>
  <c r="I34" i="4"/>
  <c r="H34" i="4"/>
  <c r="G34" i="4"/>
  <c r="F34" i="4"/>
  <c r="I33" i="4"/>
  <c r="H33" i="4"/>
  <c r="G33" i="4"/>
  <c r="F33" i="4"/>
  <c r="I32" i="4"/>
  <c r="H32" i="4"/>
  <c r="G32" i="4"/>
  <c r="F32" i="4"/>
  <c r="I31" i="4" l="1"/>
  <c r="H31" i="4"/>
  <c r="G31" i="4" s="1"/>
  <c r="I30" i="4"/>
  <c r="H30" i="4"/>
  <c r="G30" i="4" s="1"/>
  <c r="I29" i="4"/>
  <c r="H29" i="4"/>
  <c r="G29" i="4" s="1"/>
  <c r="I28" i="4"/>
  <c r="H28" i="4"/>
  <c r="G28" i="4" s="1"/>
  <c r="I27" i="4"/>
  <c r="H27" i="4"/>
  <c r="G27" i="4" s="1"/>
  <c r="I26" i="4"/>
  <c r="H26" i="4"/>
  <c r="G26" i="4" s="1"/>
  <c r="I25" i="4"/>
  <c r="H25" i="4"/>
  <c r="G25" i="4" s="1"/>
  <c r="I24" i="4"/>
  <c r="H24" i="4"/>
  <c r="G24" i="4" s="1"/>
  <c r="I23" i="4"/>
  <c r="H23" i="4"/>
  <c r="G23" i="4" s="1"/>
  <c r="I22" i="4"/>
  <c r="H22" i="4"/>
  <c r="G22" i="4" s="1"/>
  <c r="I21" i="4"/>
  <c r="H21" i="4"/>
  <c r="G21" i="4" s="1"/>
  <c r="I20" i="4"/>
  <c r="H20" i="4"/>
  <c r="G20" i="4" s="1"/>
  <c r="I19" i="4"/>
  <c r="H19" i="4"/>
  <c r="G19" i="4" s="1"/>
  <c r="I18" i="4"/>
  <c r="H18" i="4"/>
  <c r="G18" i="4" s="1"/>
  <c r="I17" i="4"/>
  <c r="H17" i="4"/>
  <c r="G17" i="4" s="1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F17" i="4" l="1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H16" i="4"/>
  <c r="G16" i="4" s="1"/>
  <c r="H15" i="4"/>
  <c r="G15" i="4" s="1"/>
  <c r="H14" i="4"/>
  <c r="F14" i="4" s="1"/>
  <c r="G14" i="4"/>
  <c r="H13" i="4"/>
  <c r="G13" i="4" s="1"/>
  <c r="H12" i="4"/>
  <c r="G12" i="4"/>
  <c r="H11" i="4"/>
  <c r="G11" i="4" s="1"/>
  <c r="H10" i="4"/>
  <c r="F10" i="4" s="1"/>
  <c r="G10" i="4"/>
  <c r="H9" i="4"/>
  <c r="G9" i="4" s="1"/>
  <c r="H8" i="4"/>
  <c r="G8" i="4"/>
  <c r="H7" i="4"/>
  <c r="G7" i="4" s="1"/>
  <c r="H6" i="4"/>
  <c r="F6" i="4" s="1"/>
  <c r="G6" i="4"/>
  <c r="H5" i="4"/>
  <c r="G5" i="4" s="1"/>
  <c r="H4" i="4"/>
  <c r="G4" i="4" s="1"/>
  <c r="H3" i="4"/>
  <c r="G3" i="4" s="1"/>
  <c r="H2" i="4"/>
  <c r="G2" i="4" s="1"/>
  <c r="F12" i="4"/>
  <c r="F8" i="4"/>
  <c r="F7" i="4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F13" i="4" l="1"/>
  <c r="F2" i="4"/>
  <c r="F9" i="4"/>
  <c r="F16" i="4"/>
  <c r="F5" i="4"/>
  <c r="F11" i="4"/>
  <c r="F3" i="4"/>
  <c r="F15" i="4"/>
  <c r="F4" i="4"/>
</calcChain>
</file>

<file path=xl/sharedStrings.xml><?xml version="1.0" encoding="utf-8"?>
<sst xmlns="http://schemas.openxmlformats.org/spreadsheetml/2006/main" count="10016" uniqueCount="4228">
  <si>
    <t>Accelerating Digitalization in Manufacturing Industries</t>
  </si>
  <si>
    <t>Artificial Intelligence</t>
  </si>
  <si>
    <t>Blockchain</t>
  </si>
  <si>
    <t>Data and Analytics Programs</t>
  </si>
  <si>
    <t>Data Management Strategies</t>
  </si>
  <si>
    <t>Digital Commerce Technologies</t>
  </si>
  <si>
    <t>Evolving Portfolio and Resource Management</t>
  </si>
  <si>
    <t>Managing Cost Optimization</t>
  </si>
  <si>
    <t>Planning and Enabling Infrastructure Delivery</t>
  </si>
  <si>
    <t>Consultation - Phone</t>
  </si>
  <si>
    <t>Email</t>
  </si>
  <si>
    <t>Analyst Inquiry</t>
  </si>
  <si>
    <t>Analyst Briefing</t>
  </si>
  <si>
    <t>Onsite Workshop</t>
  </si>
  <si>
    <t>Facilitated Networking</t>
  </si>
  <si>
    <t>To be determined</t>
  </si>
  <si>
    <t>CIO Leadership Forum</t>
  </si>
  <si>
    <t>Symposium</t>
  </si>
  <si>
    <t>Event 1:1</t>
  </si>
  <si>
    <t>Consultation - Email</t>
  </si>
  <si>
    <t>Consultation - Onsite</t>
  </si>
  <si>
    <t>Leadership Devel Coaching</t>
  </si>
  <si>
    <t>Special Interest Groups</t>
  </si>
  <si>
    <t>Peer Forum</t>
  </si>
  <si>
    <t>Summit</t>
  </si>
  <si>
    <t>Activity_Type</t>
  </si>
  <si>
    <t>ACTIVITY_TYPE</t>
  </si>
  <si>
    <t>ACTIVITY_SUBJECT</t>
  </si>
  <si>
    <t>URL_TEXT</t>
  </si>
  <si>
    <t>URL_VALUE</t>
  </si>
  <si>
    <t xml:space="preserve">Review existing organization model, discuss options for an optimal IT structure to achieve organization’s future goals. 
</t>
  </si>
  <si>
    <t>Choose an Organizational Structure for Digital Business</t>
  </si>
  <si>
    <t>https://www.gartner.com/document/3872958</t>
  </si>
  <si>
    <t xml:space="preserve">Review foundational research on optimizing design of IT.
</t>
  </si>
  <si>
    <t>The Built-to-Purpose IT Organization</t>
  </si>
  <si>
    <t>https://www.gartner.com/document/3295117</t>
  </si>
  <si>
    <t>Organizing for Success</t>
  </si>
  <si>
    <t xml:space="preserve">Discuss alternative organizational designs and the best fit for your organization. 
</t>
  </si>
  <si>
    <t>How to Organize for Efficiency</t>
  </si>
  <si>
    <t>https://www.gartner.com/document/3879584</t>
  </si>
  <si>
    <t>Peer Conversations:</t>
  </si>
  <si>
    <t>IT Organization structure with Roles and Responsibilities</t>
  </si>
  <si>
    <t>https://community.gartner.com/t5/The-Think-Tank/IT-Organization-structure-with-Roles-and-Responsibilities/m-p/52809#M1039</t>
  </si>
  <si>
    <t>Consult on building a plan for the intended IT organizational change.</t>
  </si>
  <si>
    <t xml:space="preserve">Lunch and learn event: 
</t>
  </si>
  <si>
    <t xml:space="preserve">Organizational Design for Digital Business Outcomes </t>
  </si>
  <si>
    <t>https://eod.gartner.com/session-video/SYM26/12h</t>
  </si>
  <si>
    <t>(*Optional) Organization Design in the context of the new I&amp;T Operating Model for a Digital Future.</t>
  </si>
  <si>
    <t>Designing and Implementing the I&amp;T Operating Model: Components and Interdependencies</t>
  </si>
  <si>
    <t>https://www.gartner.com/document/3832573</t>
  </si>
  <si>
    <t>Inquiry on developing plans for changing the organizational model.</t>
  </si>
  <si>
    <t>Deep dive discussion on the selected organizational model.</t>
  </si>
  <si>
    <t>Use IT capability modeling to identify individual resources and skills to build a high-performing organization.</t>
  </si>
  <si>
    <t>Use IT Capability Modeling to Build a High-Performing IT Organization</t>
  </si>
  <si>
    <t>https://www.gartner.com/document/2925717</t>
  </si>
  <si>
    <t xml:space="preserve">Discuss moving business units to a product-oriented design. Start with the I&amp;O organization.
</t>
  </si>
  <si>
    <t xml:space="preserve">Adopt a New I&amp;O Operating Model and Organization Design for Digital </t>
  </si>
  <si>
    <t>https://www.gartner.com/document/3865565</t>
  </si>
  <si>
    <t>Workshop on determining how to approach organizational design change.</t>
  </si>
  <si>
    <t xml:space="preserve">Network with a CIO who has adopted a similar organization model. 
</t>
  </si>
  <si>
    <t>Inquiry on process-optimized and functionally segregated IT organizational design.</t>
  </si>
  <si>
    <t xml:space="preserve">Review I&amp;T Operating model research to discover changes other companies are creating to be more adaptive to the business.
</t>
  </si>
  <si>
    <t>Is Your Current I&amp;T Operating Model Right for Your Digital Ambition?</t>
  </si>
  <si>
    <t>https://www.gartner.com/document/3880585</t>
  </si>
  <si>
    <t>Discussion on handling change  while undergoing organizational redesign.</t>
  </si>
  <si>
    <t xml:space="preserve">Review research on managing change associated with transition to new design:
</t>
  </si>
  <si>
    <t>Compose the From/To/Because Story to Convey a Behavior Change Journey</t>
  </si>
  <si>
    <t>https://www.gartner.com/document/code/324027</t>
  </si>
  <si>
    <t xml:space="preserve">Align existing resources and roles with business expectations for run-the-business functions and identify grow-transform functions.
</t>
  </si>
  <si>
    <t>Use the Run-Grow-Transform Model to Align IT Functions and Roles to Strategic Business Priorities</t>
  </si>
  <si>
    <t>https://www.gartner.com/document/code/325938</t>
  </si>
  <si>
    <t>Research:</t>
  </si>
  <si>
    <t>CIO Futures: The IT Organization in 2030</t>
  </si>
  <si>
    <t>http://www.gartner.com/document/3480817?ref=customproposal</t>
  </si>
  <si>
    <t>Review research:</t>
  </si>
  <si>
    <t>Consult on how to make the IT organizational leaner to drive efficiencies.</t>
  </si>
  <si>
    <t xml:space="preserve">Review research to understand if current structure supports or inhibits collaborative work:
</t>
  </si>
  <si>
    <t>From Working in Silos to Working Collaboratively</t>
  </si>
  <si>
    <t>https://www.gartner.com/document/3480817</t>
  </si>
  <si>
    <t xml:space="preserve">Forward-looking Research:
</t>
  </si>
  <si>
    <t>Inquiry on how to support and align the IT organizational structure with both IT and business processes.</t>
  </si>
  <si>
    <t>I&amp;T Operating Model - Next Steps</t>
  </si>
  <si>
    <t xml:space="preserve">Review progress and plan for next steps.
</t>
  </si>
  <si>
    <t>Review the engagement and plan for next steps.</t>
  </si>
  <si>
    <t>Consult on data and analytics maturity assessment.</t>
  </si>
  <si>
    <t>ITScore for Data and Analytics</t>
  </si>
  <si>
    <t>https://www.gartner.com/document/3818364?ref=customproposal</t>
  </si>
  <si>
    <t>Discuss level of maturity needed to exploit data asset monetization. Leverage ITScore results.</t>
  </si>
  <si>
    <t>https://www.gartner.com/document/3818364</t>
  </si>
  <si>
    <t>Foundational research:</t>
  </si>
  <si>
    <t>Why and How to Measure the Value of Your Information Assets</t>
  </si>
  <si>
    <t>https://www.gartner.com/document/3885866</t>
  </si>
  <si>
    <t>Introduce the book "Infonomics" by Gartner analyst Doug Laney.</t>
  </si>
  <si>
    <t>Infonomics: How to Monetize, Manage, and Measure Information...</t>
  </si>
  <si>
    <t>https://www.amazon.com/Infonomics-Monetize-Information-Competitive-Advantage/dp/1138090387</t>
  </si>
  <si>
    <t>Lunch and learn:</t>
  </si>
  <si>
    <t>Infonomics: Monetizing, Managing and Measuring Information as a True Asset</t>
  </si>
  <si>
    <t>https://www.gartner.com/webinar/3804864</t>
  </si>
  <si>
    <t>Linking data catalog projects to broader data management needs &amp; achieving their full potential in facilitating data monetization.</t>
  </si>
  <si>
    <t>Data Catalogs Are the New Black in Data Management and Analytics</t>
  </si>
  <si>
    <t>https://www.gartner.com/document/3837968?ref=customproposal</t>
  </si>
  <si>
    <t>Network with a CIO on best practices in data and information assets monetization.</t>
  </si>
  <si>
    <t>Review progress. Discuss next steps in defining an approach to monetizing available information assets.</t>
  </si>
  <si>
    <t>Essential Practices to Monetize Data ...</t>
  </si>
  <si>
    <t>https://www.gartner.com/document/3849277</t>
  </si>
  <si>
    <t>Inquiry on approaches to monetizing IoT data.</t>
  </si>
  <si>
    <t>Prepare to Monetize Data From the Internet of Things</t>
  </si>
  <si>
    <t>https://www.gartner.com/document/3436917?ref=customproposal</t>
  </si>
  <si>
    <t>Consult on use cases for exploiting analytics.</t>
  </si>
  <si>
    <t>Toolkit: Analytics Business Opportunities From Almost 200 Use Cases</t>
  </si>
  <si>
    <t>https://www.gartner.com/document/3679218?ref=customproposal</t>
  </si>
  <si>
    <t>Discuss use cases to create digital trust at scale, drive revenue, differentiate your organization, and lead the market.</t>
  </si>
  <si>
    <t>Use Smart Contracts and AI to Drive Value From Data Investments</t>
  </si>
  <si>
    <t>https://www.gartner.com/document/3890139</t>
  </si>
  <si>
    <t>Inquiry on deriving value from unprocessed data in data lakes.</t>
  </si>
  <si>
    <t>Derive Value From Data Lakes Using Analytics Design Patterns</t>
  </si>
  <si>
    <t>https://www.gartner.com/document/3803499?ref=customproposal</t>
  </si>
  <si>
    <t>How to strike balance between data collection and data connection.</t>
  </si>
  <si>
    <t>Modern Data Management Requires a Balance Between Collecting Data and Connecting to Data</t>
  </si>
  <si>
    <t>https://www.gartner.com/document/3818366?ref=customproposal</t>
  </si>
  <si>
    <t>Predictions on future trends in Data, analytics and business intelligence.</t>
  </si>
  <si>
    <t>100 Data and Analytics Predictions Through 2021</t>
  </si>
  <si>
    <t>https://www.gartner.com/document/3746424?ref=customproposal</t>
  </si>
  <si>
    <t>Review progress and plan for next steps in Data Asset Monetization.</t>
  </si>
  <si>
    <t>Read foundational research:</t>
  </si>
  <si>
    <t>https://www.gartner.com/explore/initiatives/overview/10841?ref=solrSearch&amp;srcId=1-5418502758</t>
  </si>
  <si>
    <t xml:space="preserve">Inquiry on strategies for digital business and digital commerce platforms. </t>
  </si>
  <si>
    <t>How to Develop a Digital Commerce Strategy</t>
  </si>
  <si>
    <t>https://www.gartner.com/document/3160824?ref=customproposal</t>
  </si>
  <si>
    <t>Peer networking: Digital commerce best practices.</t>
  </si>
  <si>
    <t>Application strategy for Digital commerce.</t>
  </si>
  <si>
    <t>Toolkit: Developing a Pace-Layered Application Strategy for Digital Commerce</t>
  </si>
  <si>
    <t>https://www.gartner.com/document/3770663?ref=customproposal</t>
  </si>
  <si>
    <t>Lunch &amp; learn:</t>
  </si>
  <si>
    <t>Modernize Your Digital Commerce Technologies Portfolio</t>
  </si>
  <si>
    <t xml:space="preserve">https://eod.gartner.com/session-video/SYM26/41i </t>
  </si>
  <si>
    <t>Digital business platform roadmap</t>
  </si>
  <si>
    <t>https://community.gartner.com/t5/IT-Strategy-Planning-Governance/Digital-business-platform-roadmap/m-p/75561/thread-id/3836</t>
  </si>
  <si>
    <t>Inquiry on strategies and technologies needed to manage emerging approaches for successful digital commerce.</t>
  </si>
  <si>
    <t>Predicts 2018: New Channels, AI and IoT Shape Future Digital Commerce Strategies</t>
  </si>
  <si>
    <t>https://www.gartner.com/document/3835163?ref=customproposal</t>
  </si>
  <si>
    <t>Consult on digital commerce platform architecture.</t>
  </si>
  <si>
    <t>The Three Approaches to Digital Commerce Platform Architecture</t>
  </si>
  <si>
    <t>https://www.gartner.com/document/3809365?ref=customproposal</t>
  </si>
  <si>
    <t>Lunch and learn event replay:</t>
  </si>
  <si>
    <t>How to structure a digital commerce department &amp; integrate IT &amp; business operations.</t>
  </si>
  <si>
    <t>Design an Effective Organization for Digital Commerce</t>
  </si>
  <si>
    <t>http://www.gartner.com/document/3723441?ref=customproposal</t>
  </si>
  <si>
    <t>Inquiry on applying AI on digital platforms.</t>
  </si>
  <si>
    <t>Peer networking: Digital best practices.</t>
  </si>
  <si>
    <t>Inquiry on applying AI on digital commerce platforms.</t>
  </si>
  <si>
    <t>How to Apply Artificial Intelligence to Digital Commerce</t>
  </si>
  <si>
    <t>https://www.gartner.com/document/3714230?ref=customproposal</t>
  </si>
  <si>
    <t>On incorporating areas that will impact the future of digital commerce in terms of customer experience, business models and emerging technology.</t>
  </si>
  <si>
    <t>What's Hot in Digital Commerce</t>
  </si>
  <si>
    <t>https://www.gartner.com/document/3881074?ref=customproposal</t>
  </si>
  <si>
    <t>Workshop on digital business capabilities.</t>
  </si>
  <si>
    <t>Toolkit: Workshop for Identifying the Business Capabilities Critical to Your Digital Business Success</t>
  </si>
  <si>
    <t>https://www.gartner.com/document/3062517?ref=customproposal</t>
  </si>
  <si>
    <t>Inquiry on metrics of success for digital commerce.</t>
  </si>
  <si>
    <t>How to Manage Digital Commerce Metrics</t>
  </si>
  <si>
    <t>https://www.gartner.com/document/3640217?ref=customproposal</t>
  </si>
  <si>
    <t>Consult on applying AI on digital commerce platforms.</t>
  </si>
  <si>
    <t>Consult on how to add a marketplace functionality to a commerce site that can increase revenue and improve customer satisfaction.</t>
  </si>
  <si>
    <t>Develop an Online Marketplace for Increased Traffic, Assortment and Revenue</t>
  </si>
  <si>
    <t>http://www.gartner.com/document/3640017?ref=customproposal</t>
  </si>
  <si>
    <t>Inquiry on expanding digital Commerce capabilities.</t>
  </si>
  <si>
    <t>Innovation Insight for API-Based Digital Commerce</t>
  </si>
  <si>
    <t>http://www.gartner.com/document/3855704?ref=customproposal</t>
  </si>
  <si>
    <t>Review and plan for future.</t>
  </si>
  <si>
    <t xml:space="preserve">Assess current state, define future goals and create customized, strategic roadmaps for mobile, endpoint and wearable computing.  </t>
  </si>
  <si>
    <t>Toolkit: 2018 Strategic Roadmap for Mobile, Endpoints and Wearables</t>
  </si>
  <si>
    <t>https://www.gartner.com/document/3883476</t>
  </si>
  <si>
    <t>Inquiry to explore different approaches for mobility in an enterprise.</t>
  </si>
  <si>
    <t>2018 Planning Guide for Collaboration, Content and Mobility</t>
  </si>
  <si>
    <t>https://www.gartner.com/document/3810666?ref=solrAll&amp;refval=197755437&amp;qid=9357a63d6565bda920c054def7c44ff9</t>
  </si>
  <si>
    <t>Learn about the 3 categories of mobile technology &amp; how to prioritize investment for the greatest impact.</t>
  </si>
  <si>
    <t>Top 10 Technologies That Are Defining the Future of Mobility</t>
  </si>
  <si>
    <t>https://www.gartner.com/document/3882964</t>
  </si>
  <si>
    <t>Review peer template - covers a broad range of consideration areas to help chart out an EMM strategy.</t>
  </si>
  <si>
    <t>Enterprise Mobility: Detailed Strategy Template</t>
  </si>
  <si>
    <t>https://community.gartner.com/t/enterprise-mobility-strategy-template/11376</t>
  </si>
  <si>
    <t>Discuss the specific decisions to make and to avoid while buying an EMM tool.</t>
  </si>
  <si>
    <t>EMM Buying Decision Points to Guide a Comprehensive Endpoint Strategy</t>
  </si>
  <si>
    <t>http://www.gartner.com/document/3783125?ref=customproposal</t>
  </si>
  <si>
    <t xml:space="preserve">Session to align EMM strategy with best practices to enhance customer responsiveness and employee engagement, and yet minimize security risks.
</t>
  </si>
  <si>
    <t>4 Steps to Implement a Perimeterless Digital Workplace</t>
  </si>
  <si>
    <t>https://www.gartner.com/document/3885466</t>
  </si>
  <si>
    <t>Network with peers on best practices in enterprise mobility management.</t>
  </si>
  <si>
    <t>Review best practices on dealing with complexities and unexpected situations in enterprise mobility deployments.</t>
  </si>
  <si>
    <t>Top 10 Best Practices for EMM Deployment Success</t>
  </si>
  <si>
    <t>https://www.gartner.com/document/3833268</t>
  </si>
  <si>
    <t>Consult on how to navigate the cultural, risk, cost and legal/regulatory hurdles of BYOD to expand mobility across the globe.</t>
  </si>
  <si>
    <t>How to Successfully Navigate the Hurdles of Global-Scale BYOD Implementations</t>
  </si>
  <si>
    <t>http://www.gartner.com/document/3849065?ref=customproposal</t>
  </si>
  <si>
    <t xml:space="preserve">Facilitated Networking: Network with peers on best practices in enterprise mobility management.
</t>
  </si>
  <si>
    <t xml:space="preserve">Inquiry on how to navigate the cultural, risk, cost and legal/regulatory hurdles of BYOD to expand mobility across the globe. </t>
  </si>
  <si>
    <t>Discuss scaling EMM and associated challenges. Ideate on how to navigate the cultural, risk, cost and legal hurdles of BYOD to scale mobility.</t>
  </si>
  <si>
    <t>How to Successfully Navigate the Hurdles of Global-Scale BYOD</t>
  </si>
  <si>
    <t>https://www.gartner.com/document/3833268?ref=ddrec&amp;refval=3808665</t>
  </si>
  <si>
    <t>Consult on front-line worker use cases to ensure measurable impact of investments</t>
  </si>
  <si>
    <t>Cool Vendors in Enterprise Wearable and Immersive Technologies</t>
  </si>
  <si>
    <t>https://www.gartner.com/document/3891170</t>
  </si>
  <si>
    <t>Inquiry on how to navigate the cultural, risk, cost and legal/regulatory hurdles of BYOD to expand mobility across the globe.</t>
  </si>
  <si>
    <t xml:space="preserve">Peer Conversations: </t>
  </si>
  <si>
    <t>Bi Modal Implementation Lessons Learned</t>
  </si>
  <si>
    <t>https://community.gartner.com/t5/IT-Strategy-Planning-Governance/Bi-Modal-Implementation-Lessons-Learned/m-p/67202/thread-id/3377</t>
  </si>
  <si>
    <t>Evaluate the quality of your current endpoint protection and identify next steps to improve resilience.</t>
  </si>
  <si>
    <t>Roadmap for Improving Endpoint Security</t>
  </si>
  <si>
    <t>https://www.gartner.com/document/3879573</t>
  </si>
  <si>
    <t xml:space="preserve">Plan to leverage maturing Unified Endpoint Management technologies to simplify the many tools, processes &amp; policies that span the device environment. </t>
  </si>
  <si>
    <t>Prepare for Unified Endpoint Management to Displace MDM and CMT</t>
  </si>
  <si>
    <t>https://www.gartner.com/document/3879284</t>
  </si>
  <si>
    <t xml:space="preserve">Review Gartner's managed diversity model that aligns choice with best fit security measures to protect enterprise information.
</t>
  </si>
  <si>
    <t>Manage and Protect Users, IT and the Business Using Gartner's Managed Diversity Model for BYOD and CYOD</t>
  </si>
  <si>
    <t>https://www.gartner.com/document/3879878</t>
  </si>
  <si>
    <t>Discuss further about trends in Enterprise Mobility and discuss the strategy for 2019.</t>
  </si>
  <si>
    <t xml:space="preserve">Leading the transition to digital government. </t>
  </si>
  <si>
    <t>2019 CIO Agenda: Government Insights</t>
  </si>
  <si>
    <t>https://www.gartner.com/document/3891884</t>
  </si>
  <si>
    <t>Establish a CX program with an outside-in approach to delivering services.</t>
  </si>
  <si>
    <t>Toolkit: 2018 Strategic Roadmap for Digital Government CX Programs</t>
  </si>
  <si>
    <t>https://www.gartner.com/document/3884176?ref=customproposal</t>
  </si>
  <si>
    <t>Digital government maturity workshop.</t>
  </si>
  <si>
    <t>Introducing the Gartner Digital Government Maturity Model 2.0</t>
  </si>
  <si>
    <t>https://www.gartner.com/document/3764382?ref=customproposal</t>
  </si>
  <si>
    <t>Consult on government digital platforms that are vital to lowering risk and achieving business transformation goals.</t>
  </si>
  <si>
    <t>A Digital Government Technology Platform Is Essential to Government Transformation</t>
  </si>
  <si>
    <t>https://www.gartner.com/document/3848267?ref=customproposal</t>
  </si>
  <si>
    <t>Improving citizen experience using digital channels.</t>
  </si>
  <si>
    <t>Government Portals Need to Evolve Now or They Won't Satisfy Anyone</t>
  </si>
  <si>
    <t>https://www.gartner.com/document/3559619?ref=customproposal</t>
  </si>
  <si>
    <t>To the Point: Achieve the Pace of Business With the Digital Government Technology Platform</t>
  </si>
  <si>
    <t>Lunch and learn event replay</t>
  </si>
  <si>
    <t>https://www.gartnereventsondemand.com/session-video/SYM27/13f</t>
  </si>
  <si>
    <t xml:space="preserve">Network with a Government CIO for best practices in improving citizen experience. </t>
  </si>
  <si>
    <t>Leverage digital channels for updates on govt. initiatives.</t>
  </si>
  <si>
    <t>Four Actions Government CIOs Can Take to Improve Website Experiences for Citizens</t>
  </si>
  <si>
    <t>https://www.gartner.com/document/3621351?ref=customproposal</t>
  </si>
  <si>
    <t>Is Your Digital Government Platform Ready for Virtual Assistants and Chatbots?</t>
  </si>
  <si>
    <t>API management for digital government.</t>
  </si>
  <si>
    <t>Add Full Life Cycle API Management to Your Digital Government Platform</t>
  </si>
  <si>
    <t>http://www.gartner.com/document/3636717?ref=customproposal</t>
  </si>
  <si>
    <t>Network with a CIO for best practices in improving citizen experience.</t>
  </si>
  <si>
    <t>On adjusting digital service delivery strategies and extending the platform to exploit these new opportunities.</t>
  </si>
  <si>
    <t>https://www.gartner.com/document/3687917</t>
  </si>
  <si>
    <t>Future technology trends in digital government and how to prepare for them.</t>
  </si>
  <si>
    <t>Three Geospatial and Location Intelligence Use Cases to Meet Governments' Biggest Challenges</t>
  </si>
  <si>
    <t>https://www.gartner.com/document/3833266?ref=customproposal</t>
  </si>
  <si>
    <t>Review progress and consult on how to prove the value of government initiatives.</t>
  </si>
  <si>
    <t>New Business and Technology Priorities in Smart City Require CIOs to Change</t>
  </si>
  <si>
    <t>Inquire on how to develop futuristic plans that can adapt to a rapidly changing world.</t>
  </si>
  <si>
    <t>Digital Government 2030: Planning for an Uncertain Future</t>
  </si>
  <si>
    <t>https://www.gartner.com/document/3850365?ref=customproposal</t>
  </si>
  <si>
    <t>Consult on how to keep upgrading technology without impacting citizen services.</t>
  </si>
  <si>
    <t>Inquiry on basics of digitalizing manufacturing and associated technologies.</t>
  </si>
  <si>
    <t>https://www.gartner.com/explore/initiatives/overview/11130</t>
  </si>
  <si>
    <t xml:space="preserve">Research: </t>
  </si>
  <si>
    <t>The Global Impact of Industrie 4.0 Enables and Accelerates Worldwide Digital Business Success</t>
  </si>
  <si>
    <t>http://www.gartner.com/document/3796464?ref=customproposal</t>
  </si>
  <si>
    <t>Consult on Industrie 4.0 Initiative and how it makes manufacturing operations more efficient.</t>
  </si>
  <si>
    <t>Debunking Myths and Misconceptions About Industrie 4.0</t>
  </si>
  <si>
    <t>http://www.gartner.com/document/3816979?ref=customproposal</t>
  </si>
  <si>
    <t>Network with a CIO for best practices in manufacturing digitalization.</t>
  </si>
  <si>
    <t>Discuss on operational integration of business platforms for collaboration and ecosystem development.</t>
  </si>
  <si>
    <t>Digital Business Transformation: A Manufacturing Industry Perspective for CIOs</t>
  </si>
  <si>
    <t>https://www.gartner.com/document/3885880</t>
  </si>
  <si>
    <t>Network with a CIO for best practices in manufacturing digitalization</t>
  </si>
  <si>
    <t>Inquiry on 3D printing technologies and how to incorporate in current manufacturing.</t>
  </si>
  <si>
    <t>Inquiry on how to use data generated from IoT to monitor, analyze and act upon product data.</t>
  </si>
  <si>
    <t>IoT Enriches PLM With 360 Degrees of Product Life Cycle Data</t>
  </si>
  <si>
    <t>http://www.gartner.com/document/3846164?ref=customproposal</t>
  </si>
  <si>
    <t>Consult on of AI using the IoT, machine learning and additive manufacturing.</t>
  </si>
  <si>
    <t>Predicts 2018: Industrie 4.0 and Advanced Manufacturing</t>
  </si>
  <si>
    <t>https://www.gartner.com/document/3871170?ref=customproposal</t>
  </si>
  <si>
    <t>Consult on how to implement and exploit AI in manufacturing operations.</t>
  </si>
  <si>
    <t>https://www.gartner.com/explore/initiatives/overview/10545</t>
  </si>
  <si>
    <t>Inquiry on using Blockchain technologies in manufacturing.</t>
  </si>
  <si>
    <t>Maverick* Research: How Blockchain Undermines the Value Proposition of Platform Businesses</t>
  </si>
  <si>
    <t>http://www.gartner.com/document/3803863?ref=customproposal</t>
  </si>
  <si>
    <t>Inquiry on metrics and success criteria for IOT and Industrie 4.0 initiatives.</t>
  </si>
  <si>
    <t>IoT Project Metrics (KPIs) Help Ensure Your Industrie 4.0 Outcomes</t>
  </si>
  <si>
    <t>http://www.gartner.com/document/3852361?ref=customproposal</t>
  </si>
  <si>
    <t>Review progress, and plan on how to further enhance and optimize manufacturing operations.</t>
  </si>
  <si>
    <t>Peer Conversation:</t>
  </si>
  <si>
    <t>Digital Twin of an Organization</t>
  </si>
  <si>
    <t>https://community.gartner.com/t5/Enterprise-Architecture-and-BPM/Digital-Twin-of-an-Organization/m-p/75408</t>
  </si>
  <si>
    <t>Assess the maturity of the current privacy program and practices.</t>
  </si>
  <si>
    <t>ITScore for Privacy</t>
  </si>
  <si>
    <t>http://www.gartner.com/document/1433735?ref=customproposal</t>
  </si>
  <si>
    <t>Review foundational research. Read first.</t>
  </si>
  <si>
    <t>Include Four Key Components to Complete Your Privacy Management Program</t>
  </si>
  <si>
    <t>https://www.gartner.com/document/3840166</t>
  </si>
  <si>
    <t>Review ITScore results. Discuss the key elements of a privacy management program and approaches to fully integrate the program into the business.</t>
  </si>
  <si>
    <t>Inquiry on important elements of a privacy management program and the various regulations that need to be adhered to.</t>
  </si>
  <si>
    <t>Network with a CIO for best practices in adapting to new privacy regulations.</t>
  </si>
  <si>
    <t>Discussion on a quick scan approach to assess the organization's personal data processing activities and revisit privacy policies.</t>
  </si>
  <si>
    <t>Inquiry on GDPR regulation and the components in the privacy program that would help in conforming to this regulation.</t>
  </si>
  <si>
    <t>Toolkit: General Data Protection Regulation Readiness Schedule</t>
  </si>
  <si>
    <t>http://www.gartner.com/document/3803477?ref=customproposal</t>
  </si>
  <si>
    <t>Review peer conversations.</t>
  </si>
  <si>
    <t>Privacy Management</t>
  </si>
  <si>
    <t>https://www.gartner.com/search/peerconv/simple?typeaheadTermType=&amp;typeaheadTermId=&amp;searchType=151&amp;keywords=privacy%20management&amp;qid=fe280d6c86108a56ec6a2f5b111ae879</t>
  </si>
  <si>
    <t>Inquiry on approaches that weigh down on a privacy program's effectiveness, and best practices that support its success.</t>
  </si>
  <si>
    <t>The Four Do's and Don'ts of Implementing Your Privacy Program</t>
  </si>
  <si>
    <t>http://www.gartner.com/document/3791067?ref=customproposal</t>
  </si>
  <si>
    <t>Lunch and learn webinar:</t>
  </si>
  <si>
    <t>Privacy Pressures: Attack the GDPR Before It Attacks You!</t>
  </si>
  <si>
    <t>https://www.gartner.com/webinar/3862765</t>
  </si>
  <si>
    <t>Consult on actions to be taken to fully leverage the value of personal data while maintaining privacy compliance.</t>
  </si>
  <si>
    <t>Assess and mitigate GDPR risks for content and collaboration implementations.</t>
  </si>
  <si>
    <t>How privacy laws effect customer relations.</t>
  </si>
  <si>
    <t>Modern Privacy Regulations Could Sever or Strengthen Your Ties With Customers</t>
  </si>
  <si>
    <t>https://www.gartner.com/document/3860864?ref=customproposal</t>
  </si>
  <si>
    <t>Develop vendor-selection criteria for data protection.</t>
  </si>
  <si>
    <t>Beyond GDPR: Select and Control Your Service Providers to Ensure Privacy Protection</t>
  </si>
  <si>
    <t>http://www.gartner.com/document/3868222?ref=customproposal</t>
  </si>
  <si>
    <t>Inquiry on the 10 requirements that are pertinent to application leaders supporting CRM and the customer experience.</t>
  </si>
  <si>
    <t>http://www.gartner.com/document/3860864?ref=customproposal</t>
  </si>
  <si>
    <t>Review progress, and plan on how to further enhance privacy programs in the organization.</t>
  </si>
  <si>
    <t>Assess Data and Analytics capability maturity by Using Gartner's ITScore.</t>
  </si>
  <si>
    <t>Review ITScore results. Evaluate capabilities, establish areas that need improvements.</t>
  </si>
  <si>
    <t xml:space="preserve">Craft an Analytics and BI strategy aligning with future vision and goals.  
</t>
  </si>
  <si>
    <t>Gartner Analytics Evolution Framework</t>
  </si>
  <si>
    <t>https://www.gartner.com/document/3891974</t>
  </si>
  <si>
    <t>Provide support in communicating the Analytics Vision to the organization.</t>
  </si>
  <si>
    <t xml:space="preserve">      Leadership Vision for 2018: Data and Analytics Leader</t>
  </si>
  <si>
    <t>https://www.gartner.com/document/3787263</t>
  </si>
  <si>
    <t>Review research on evolving from reliance on spreadsheets.</t>
  </si>
  <si>
    <t>Evolving From Spreadsheets in the Age of Modern Analytics and BI</t>
  </si>
  <si>
    <t>https://www.gartner.com/document/3887794</t>
  </si>
  <si>
    <t>No Data and Analytics Vision? No Business Impact!</t>
  </si>
  <si>
    <t>Review  best practices from peers:</t>
  </si>
  <si>
    <t>Best of Data &amp; Analytics Strategies</t>
  </si>
  <si>
    <t>https://www.gartner.com/document/3868210?ref=customproposal</t>
  </si>
  <si>
    <t xml:space="preserve">Review user segmentation, use-cases, BI and analytics tools. </t>
  </si>
  <si>
    <t>Select the Right Analytics and BI for the Right User and Use Case</t>
  </si>
  <si>
    <t>https://www.gartner.com/document/3877089</t>
  </si>
  <si>
    <t>Engage on prioritized projects and tool/vendor selection.</t>
  </si>
  <si>
    <t>Toolkit: Analytics and BI Platform RFP</t>
  </si>
  <si>
    <t>https://www.gartner.com/document/3881988</t>
  </si>
  <si>
    <t>Establish best practices for self-service Analytics &amp; BI.</t>
  </si>
  <si>
    <t>Lessons From Gartner Award Finalists</t>
  </si>
  <si>
    <t>https://www.gartner.com/document/3810889</t>
  </si>
  <si>
    <t xml:space="preserve">Based on Symposium session: </t>
  </si>
  <si>
    <t>Putting Data and Analytics at the Heart of Your Digital Platform</t>
  </si>
  <si>
    <t>https://www.gartnereventsondemand.com/session-video/SYM27/31b</t>
  </si>
  <si>
    <t>Connect with a fellow CIO who is actively working on Analytics strategy.</t>
  </si>
  <si>
    <t>Discuss best practices in organizing teams for Data &amp; Analytics.</t>
  </si>
  <si>
    <t>Establish governance:</t>
  </si>
  <si>
    <t>Design an Effective Information Governance Strategy</t>
  </si>
  <si>
    <t>https://www.gartner.com/document/3816972?ref=customproposal</t>
  </si>
  <si>
    <t>Review research on identifying areas of redundant practice and technology overlap to streamline tool portfolio.</t>
  </si>
  <si>
    <t>Less Is More: Streamlining Your Analytics and BI Tool Portfolio</t>
  </si>
  <si>
    <t>https://www.gartner.com/document/3883666</t>
  </si>
  <si>
    <t>Business value of analytics - justifying investment through business performance results</t>
  </si>
  <si>
    <t>Review progress and discuss how to improve Analytics and BI adoption in the organization.  Leverage survey analysis:</t>
  </si>
  <si>
    <t>Why BI and Analytics Adoption Remains Low and How to Expand Its Reach</t>
  </si>
  <si>
    <t>https://www.gartner.com/document/3753469?ref=customproposal</t>
  </si>
  <si>
    <t>Complete a new ITScore assessment. Measure progress and refresh priorities and plan.</t>
  </si>
  <si>
    <t>Review recently published research.</t>
  </si>
  <si>
    <t>https://www.gartner.com/search/research/simple?searchType=2&amp;binValue=RSKiPSearchFacet==Data%20and%20Analytics%20Programs||10527&amp;sortType=date</t>
  </si>
  <si>
    <t xml:space="preserve">Discuss goals for Artificial Intelligence (AI). Review EXP report and plan next steps. </t>
  </si>
  <si>
    <t>An AI Reality Check for CIOs</t>
  </si>
  <si>
    <t>https://www.gartner.com/document/3884507</t>
  </si>
  <si>
    <t>Review core AI technologies. Identify use cases and gaps in skill-set.</t>
  </si>
  <si>
    <t>Hype Cycle for AI, 2018</t>
  </si>
  <si>
    <t>https://www.gartner.com/document/3883863</t>
  </si>
  <si>
    <t>Lunch &amp; learn webinar: Understand levels of AI adoption, preparing for AI and case studies.</t>
  </si>
  <si>
    <t xml:space="preserve"> AI Strategy Special Report</t>
  </si>
  <si>
    <t>https://www.gartner.com/webinar/3838573</t>
  </si>
  <si>
    <t xml:space="preserve">Create AI Roadmap and business case.  </t>
  </si>
  <si>
    <t>Business Cases for AI Projects</t>
  </si>
  <si>
    <t>https://www.gartner.com/document/3854974</t>
  </si>
  <si>
    <t xml:space="preserve">Analyze the potential of AI in various horizontal and vertical use cases. 
</t>
  </si>
  <si>
    <t>Where You Should Use Artificial Intelligence — and Why</t>
  </si>
  <si>
    <t>https://www.gartner.com/document/code/328113</t>
  </si>
  <si>
    <t>Review research on targeting the most promising opportunities for AI and successfully delivering AI capabilities.</t>
  </si>
  <si>
    <t>Deliver Artificial Intelligence Business Value: A Gartner Trend Insight Report</t>
  </si>
  <si>
    <t>https://www.gartner.com/document/3872663</t>
  </si>
  <si>
    <t xml:space="preserve">How Machine Learning Impacts Business Benefits: How does ML work, and how can it benefit business? What are the challenges &amp; pitfalls? </t>
  </si>
  <si>
    <t>Discuss stages of the AI maturity and optimize strategy to achieve maximum value from AI investments.</t>
  </si>
  <si>
    <t>AI Maturity Model</t>
  </si>
  <si>
    <t>https://www.gartner.com/document/3885363</t>
  </si>
  <si>
    <t xml:space="preserve">Discuss the core AI Technologies referencing: </t>
  </si>
  <si>
    <t>Top 10 Strategic Technology Trends for 2017: Artificial Intelligence and Advanced Machine Learning</t>
  </si>
  <si>
    <t>https://www.gartner.com/document/3640421</t>
  </si>
  <si>
    <t>Review core AI technologies referencing:</t>
  </si>
  <si>
    <t>Top 10 Strategic Technology Trends for 2018: AI Foundation</t>
  </si>
  <si>
    <t>http://www.gartner.com/document/3865401?ref=customproposal</t>
  </si>
  <si>
    <t>Peer Network with a CIO who is further down the road with AI implementation.</t>
  </si>
  <si>
    <t xml:space="preserve">Leverage Gartner analysts for AI vendor selection and contract review.    
</t>
  </si>
  <si>
    <t>Negotiate AI Contracts to Prevent Loss of Your Valuable Intellectual Property to Vendors and Competitors</t>
  </si>
  <si>
    <t>https://www.gartner.com/document/3843383</t>
  </si>
  <si>
    <t xml:space="preserve">Review new articles on Artificial Intelligence on </t>
  </si>
  <si>
    <t>Smarter with Gartner</t>
  </si>
  <si>
    <t>https://blogs.gartner.com/smarterwithgartner?s=Artificial+Intelligence</t>
  </si>
  <si>
    <t>Session on managing Business's expectations around AI.</t>
  </si>
  <si>
    <t>Artificial Intelligence Hype: Managing Business Leadership Expectations</t>
  </si>
  <si>
    <t>https://www.gartner.com/document/3877474</t>
  </si>
  <si>
    <t>https://www.gartner.com/search/peerconv/simple?typeaheadTermType=&amp;typeaheadTermId=&amp;searchType=151&amp;keywords=atrifical%20intelligence&amp;qid=da90538699db7f0c46d2b815cec8f71a</t>
  </si>
  <si>
    <t xml:space="preserve">Review peer conversations. 
</t>
  </si>
  <si>
    <t>to support Roadmap implementation – platform architecture, technology selections, integration, security etc.</t>
  </si>
  <si>
    <t>Establish AI team structure:</t>
  </si>
  <si>
    <t>Organizational Principles for Placing Data Science and Machine Learning Teams</t>
  </si>
  <si>
    <t>https://www.gartner.com/document/3803065</t>
  </si>
  <si>
    <t>Review progress and put together a plan for the next 90 days.</t>
  </si>
  <si>
    <t xml:space="preserve">Identify the most suitable style of AI Center of Excellence and how to measure its success. 
</t>
  </si>
  <si>
    <t>Choose the Right Center of Excellence for Your AI Strategy</t>
  </si>
  <si>
    <t>https://www.gartner.com/document/3879564</t>
  </si>
  <si>
    <t xml:space="preserve">Leverage gartner.com to stay abreast of the latest insights. 
</t>
  </si>
  <si>
    <t>Working session to assess progress and plan next steps.</t>
  </si>
  <si>
    <t>test</t>
  </si>
  <si>
    <t xml:space="preserve">Review research: </t>
  </si>
  <si>
    <t xml:space="preserve">What Is an I&amp;T Operating Model, and How Do You Accelerate Its Design? </t>
  </si>
  <si>
    <t>https://www.gartner.com/document/code/342071</t>
  </si>
  <si>
    <t xml:space="preserve">Session to discuss current state and future state vision – complete questionnaire.
</t>
  </si>
  <si>
    <t>Redesign the IT Operating Model to Accelerate Digital Business (figure 9)</t>
  </si>
  <si>
    <t>https://www.gartner.com/document/3830132</t>
  </si>
  <si>
    <t xml:space="preserve">Working session to discuss current state and future state vision – complete questionnaire (go to figure 9): </t>
  </si>
  <si>
    <t>https://www.gartner.com/document/3830132?ref=projectKI&amp;refval=10971#dv_figure_9_tool</t>
  </si>
  <si>
    <t xml:space="preserve">Assessment to evaluate effectiveness of operating model in realizing enterprise goals.  
</t>
  </si>
  <si>
    <t>ITScore for Strategy and Execution</t>
  </si>
  <si>
    <t>https://www.gartner.com/document/code/342538</t>
  </si>
  <si>
    <t>Review questionnaire and assessment results. Discuss Operational model options. Define the optimized path/prioritization of the different components.</t>
  </si>
  <si>
    <t xml:space="preserve">Review research for framework to accelerate the design process and provide a narrative for communicating the change:
</t>
  </si>
  <si>
    <t xml:space="preserve">Team lunch and learn event replay: </t>
  </si>
  <si>
    <t>Digital Business Demands New I&amp;T Operating Models</t>
  </si>
  <si>
    <t>https://www.gartnereventsondemand.com/session-video/SYM27/41j</t>
  </si>
  <si>
    <t xml:space="preserve">(*Optional) Digital Business Demands New IT Operating Models.
</t>
  </si>
  <si>
    <t>Focused on highest priority component e.g. Renewing the Organizational Structure to support future I&amp;T Operating Model.</t>
  </si>
  <si>
    <t>Review patterns:</t>
  </si>
  <si>
    <t>The Service-Optimizing I&amp;T Operating Model Pattern</t>
  </si>
  <si>
    <t>https://www.gartner.com/document/3832763</t>
  </si>
  <si>
    <t>Prepare executive communications.</t>
  </si>
  <si>
    <t>Toolkit: Board-Ready Presentation — How to Persuade the C-Suite of Your I&amp;T Operating Model Transformation</t>
  </si>
  <si>
    <t>https://www.gartner.com/document/3833969</t>
  </si>
  <si>
    <t xml:space="preserve">Review patterns:
</t>
  </si>
  <si>
    <t xml:space="preserve">Understand how governance and culture influence, and are influenced by, the design of an I&amp;T operating model:  
</t>
  </si>
  <si>
    <t>Governance and Culture Are the Fabric of Your I&amp;T Operating Model</t>
  </si>
  <si>
    <t>https://www.gartner.com/document/code/335265</t>
  </si>
  <si>
    <t>Review progress on the nine components and put together a plan for the next 90 days.</t>
  </si>
  <si>
    <t>Analyst calls to support the components of the operating model change initiative.</t>
  </si>
  <si>
    <t xml:space="preserve">Review case studies on how leading companies have redesigned their I&amp;T Operating Model.  
</t>
  </si>
  <si>
    <t>Operating Model Case Studies</t>
  </si>
  <si>
    <t>https://www.gartner.com/search/research/simple?typeaheadTermType=&amp;typeaheadTermId=&amp;searchType=2&amp;keywords=&amp;qid=ab779e73521259a45b804cc349521bf1&amp;binValue=RSKiPSearchFacet==CIO%20Design%20of%20Bimodal%20and%20Other%20IT%20Models||10971&amp;binValue=GGInfoTypeSearchFacet==Case%20Studies||2&amp;sortType=date</t>
  </si>
  <si>
    <t>Explore forward thinking research:</t>
  </si>
  <si>
    <t>Maverick* Research: Here Comes the Age of Decentralized</t>
  </si>
  <si>
    <t>https://www.gartner.com/document/3808065</t>
  </si>
  <si>
    <t>Re-run ITScore. Assess progress:</t>
  </si>
  <si>
    <t xml:space="preserve">ITScore for Strategy and Execution  </t>
  </si>
  <si>
    <t xml:space="preserve">Kick off IT Strategy discussion. Review Gartner's strategy tools and templates. 
</t>
  </si>
  <si>
    <t>EXP Report: A CIO’s Guide to Strategy..</t>
  </si>
  <si>
    <t>https://www.gartner.com/document/3847368</t>
  </si>
  <si>
    <t xml:space="preserve">Review foundational research on IT Strategy: 
</t>
  </si>
  <si>
    <t>The CIO Playbook to Build a Better Strategy</t>
  </si>
  <si>
    <t>https://www.gartner.com/document/3816666?ref=customproposal</t>
  </si>
  <si>
    <t>Working session outlining Gartner’s approach to strategy. Assess current state, envision future state, identify next steps.</t>
  </si>
  <si>
    <t>Introductory call - laying out activities for a successful strategic planning process.</t>
  </si>
  <si>
    <t xml:space="preserve">Review ITScore results. Gain insights on the best ways to accelerate strategy development.  </t>
  </si>
  <si>
    <t xml:space="preserve">Use ITScore to assess the IT organization's ability partner with the business &amp; execute on strategy. 
</t>
  </si>
  <si>
    <t>https://www.gartner.com/document/3817768</t>
  </si>
  <si>
    <t xml:space="preserve">[Optional] If no business strategy exists - Conduct One Page Strategy Workshop with Executive team. </t>
  </si>
  <si>
    <t>The Art of the One-Page Strategy</t>
  </si>
  <si>
    <t>https://www.gartner.com/document/3092222</t>
  </si>
  <si>
    <t xml:space="preserve">(*Optional) Strategy workshop to bring IT and potentially business stakeholders together for strategy vision &amp; alignment.
</t>
  </si>
  <si>
    <t xml:space="preserve">Ensure functional leaders are equipped to support the strategic planning process.
</t>
  </si>
  <si>
    <t>How to Build a Successful Strategic Plan (E-book)</t>
  </si>
  <si>
    <t>https://www.gartner.com/en/publications/ebook-strategic-planning-for-technology</t>
  </si>
  <si>
    <t>Host a lunch and learn leveraging Symposium replay:</t>
  </si>
  <si>
    <t>Strategy and the CIO — Your Personal Contribution to Digital Business Success</t>
  </si>
  <si>
    <t>https://www.gartnereventsondemand.com/session-video/SYM27/21j</t>
  </si>
  <si>
    <t>Review Gartner strategy templates:</t>
  </si>
  <si>
    <t xml:space="preserve">Embedding Information &amp; Technology in Business Strategy </t>
  </si>
  <si>
    <t>http://www.gartner.com/document/3875573?ref=customproposal</t>
  </si>
  <si>
    <t>https://www.gartner.com/document/code/316556</t>
  </si>
  <si>
    <t>Working sessions on strategy development and review.</t>
  </si>
  <si>
    <t>Business Strategy Partnership – the CIO’s Most Important Job.</t>
  </si>
  <si>
    <t>Revisit ITScore results. Identify next set of priorities for maturity improvement.</t>
  </si>
  <si>
    <t>Strategy document review and feedback. Prioritize next steps.</t>
  </si>
  <si>
    <t xml:space="preserve">(*Optional) Business Strategy Partnership – the CIO’s Most Important Job.
</t>
  </si>
  <si>
    <t xml:space="preserve">Review best-practices to ensure IT strategy is brief, clear and focused on business success.
</t>
  </si>
  <si>
    <t>Improve Your Information and Technology Strategy Using the 'Anti-Strategy' Test</t>
  </si>
  <si>
    <t>https://www.gartner.com/document/3883266</t>
  </si>
  <si>
    <t>Network with fellow EXP member who has renovated the IT strategic planning process</t>
  </si>
  <si>
    <t xml:space="preserve">Network with fellow EXP member who has renovated the IT strategic planning process. 
</t>
  </si>
  <si>
    <t>Communicate Strategy:</t>
  </si>
  <si>
    <t>CIOs Emphasize Value, Not Technology, When Communicating Strategy to the Board</t>
  </si>
  <si>
    <t>https://www.gartner.com/document/3815364</t>
  </si>
  <si>
    <t xml:space="preserve">Communicating the IT Strategy across the organization. 
</t>
  </si>
  <si>
    <t>Emphasize Value When Communicating Strategy to the Board</t>
  </si>
  <si>
    <t>Drive change:</t>
  </si>
  <si>
    <t xml:space="preserve">Integrate Organizational Change in the Strategic Planning Process </t>
  </si>
  <si>
    <t>https://www.gartner.com/document/code/316558</t>
  </si>
  <si>
    <t xml:space="preserve">Managing change &amp; people challenge during IT strategy execution: 
</t>
  </si>
  <si>
    <t>Strategy checkpoint – review and calibration.</t>
  </si>
  <si>
    <t>Analyst calls to support strategy execution and communication.</t>
  </si>
  <si>
    <t xml:space="preserve">Analyst calls to support strategy execution and communication.
</t>
  </si>
  <si>
    <t xml:space="preserve">Leverage scenario planning to test strategic assumptions against unforeseen changes and to prepare suitable responses. 
</t>
  </si>
  <si>
    <t>Use Scenario Planning to Make Business and IT Strategies More Resilient…</t>
  </si>
  <si>
    <t>https://www.gartner.com/document/code/366620</t>
  </si>
  <si>
    <t>Strategy checkpoint – fine tuning the IT Strategy. Plan Strategy refresh cycle.</t>
  </si>
  <si>
    <t>Review peer conversations:</t>
  </si>
  <si>
    <t>IT Strategic Planning</t>
  </si>
  <si>
    <t>https://www.gartner.com/search/peerconv/simple?typeaheadTermType=&amp;typeaheadTermId=&amp;searchType=151&amp;keywords=it%20strategic%20planning&amp;qid=c3dc16a93acb7e0da49dac30118f9864&amp;binValue=CONTENT_TYPE_BIN==Discussions</t>
  </si>
  <si>
    <t xml:space="preserve">Repeat assessment:
</t>
  </si>
  <si>
    <t>Review forward looking research:</t>
  </si>
  <si>
    <t xml:space="preserve">Your Business Like a Lego Set to Win in Disruptive Times </t>
  </si>
  <si>
    <t>https://www.gartner.com/document/3803487</t>
  </si>
  <si>
    <t>Repeat assessment:</t>
  </si>
  <si>
    <t xml:space="preserve">Strategy checkpoint – review the IT Strategy. Plan Strategy refresh cycle.
</t>
  </si>
  <si>
    <t>Foundational research. Read first:</t>
  </si>
  <si>
    <t>Strategic Benefits Realization: IT as an Engine for Execution of Strategy</t>
  </si>
  <si>
    <t>https://www.gartner.com/document/2934517</t>
  </si>
  <si>
    <t>Introductory call – best practices for measuring and communicating the business value of IT.</t>
  </si>
  <si>
    <t xml:space="preserve">Introductory call – best practices for measuring and communicating the business value of IT.   </t>
  </si>
  <si>
    <t xml:space="preserve">Strategy consultation on insights, models and questions set out in the research. 
</t>
  </si>
  <si>
    <t>IT as an Engine for Coherent Execution of Strategy</t>
  </si>
  <si>
    <t>Team lunch and learn leveraging Symposium replay:</t>
  </si>
  <si>
    <t>Getting to Benefits Realization..</t>
  </si>
  <si>
    <t>https://eod.gartner.com/session-video/SYM23/32c</t>
  </si>
  <si>
    <t xml:space="preserve">EP led BVIT workshop: Identify, goals &amp; strategies, Map IT Initiatives to strategies. Identify metrics and baselines. </t>
  </si>
  <si>
    <t>Host a lunch and learn with Symposium event replay:</t>
  </si>
  <si>
    <t>Getting to Benefits Realization: What to Do and When to Do It</t>
  </si>
  <si>
    <t>Setting up the IT Investment Council. Developing a value communication approach – Executive &amp; BU perspective.</t>
  </si>
  <si>
    <t>The IT Investment Council: What to Do and When to Do It</t>
  </si>
  <si>
    <t>https://www.gartner.com/document/3525664</t>
  </si>
  <si>
    <t xml:space="preserve">Team lunch and learn leveraging Symposium replay: 
</t>
  </si>
  <si>
    <t>To the Point: Ten Absolute Truths for Measuring the Business Value of IT</t>
  </si>
  <si>
    <t>https://eod.gartner.com/session-video/ESC27/33g</t>
  </si>
  <si>
    <t xml:space="preserve">(*Optional) EP led BVIT workshop: Identify, goals &amp; strategies, Map IT Initiatives to strategies. Identify metrics and baselines.  
</t>
  </si>
  <si>
    <t xml:space="preserve">Setting up the IT Investment Council. Developing a value communication approach – Executive &amp; BU perspective.
</t>
  </si>
  <si>
    <t>The IT Investment Council: What to Do</t>
  </si>
  <si>
    <t xml:space="preserve">Leverage template to visualize the strategic plan and its link to business objectives.
</t>
  </si>
  <si>
    <t>Toolkit: 1-Page I&amp;T Strategic Plan Template Visualizes the Links to Business Objectives</t>
  </si>
  <si>
    <t>https://www.gartner.com/document/3884767?ref=customproposal</t>
  </si>
  <si>
    <t>Peer Network with a CIO who has effectively implemented a BVIT approach/mindset.</t>
  </si>
  <si>
    <t xml:space="preserve">Peer Network with a CIO who has effectively implemented a BVIT approach/mindset.
</t>
  </si>
  <si>
    <t xml:space="preserve">(*Optional) How to define &amp; effectively communicate KPIs that establish goals and assess progress. 
</t>
  </si>
  <si>
    <t>Digital Business KPIs: Defining and Measuring Success</t>
  </si>
  <si>
    <t>https://www.gartner.com/document/3803509</t>
  </si>
  <si>
    <t>Review peer content:</t>
  </si>
  <si>
    <t>Executive Council and Investment Review Board Charters</t>
  </si>
  <si>
    <t>https://www.gartner.com/document/3830143</t>
  </si>
  <si>
    <t>Based on Symposium session:</t>
  </si>
  <si>
    <t>Business Models Matter for CIOs</t>
  </si>
  <si>
    <t>https://eod.gartner.com/session-video/SYM27/31j</t>
  </si>
  <si>
    <t xml:space="preserve">Research on developing business-performance-focused metrics: 
</t>
  </si>
  <si>
    <t>Survey Analysis: The Role of Metrics in Demonstrating the Business Value of IT</t>
  </si>
  <si>
    <t>https://www.gartner.com/document/3886973</t>
  </si>
  <si>
    <t xml:space="preserve">Correlating IT spending and business value metrics.
</t>
  </si>
  <si>
    <t>A Framework to Measure IT Efficiency and Business Value</t>
  </si>
  <si>
    <t>https://www.gartner.com/document/3844863</t>
  </si>
  <si>
    <t>Report on value:</t>
  </si>
  <si>
    <t>Toolkit: The Gartner Cost Value Matrix, 2018: A Framework to Measure IT Efficiency and Business Value</t>
  </si>
  <si>
    <t>Communicate to the business:</t>
  </si>
  <si>
    <t xml:space="preserve">Develop a communication strategy to effectively communicate business value of IT.
</t>
  </si>
  <si>
    <t>Effective Communications: Stakeholder Analysis</t>
  </si>
  <si>
    <t>https://www.gartner.com/document/1156814</t>
  </si>
  <si>
    <t>Review end of year performance and board presentation slides (if available).</t>
  </si>
  <si>
    <t>Review end of year performance, review presentation materials if available.</t>
  </si>
  <si>
    <t xml:space="preserve">Effectively communicating IT success and value through the use of dashboards: 
</t>
  </si>
  <si>
    <t>Effective Communications: Performance Dashboards</t>
  </si>
  <si>
    <t>https://www.gartner.com/document/1178831</t>
  </si>
  <si>
    <t>Annual BVIT Benchmark against initial baseline.</t>
  </si>
  <si>
    <t xml:space="preserve">Annual BVIT Benchmark against initial baseline.
</t>
  </si>
  <si>
    <t>Review research</t>
  </si>
  <si>
    <t>Survey Analysis: How Leading Organizations Optimize Cost by Prioritizing Business Value</t>
  </si>
  <si>
    <t>https://www.gartner.com/document/3821663</t>
  </si>
  <si>
    <t xml:space="preserve">Review M&amp;A research: </t>
  </si>
  <si>
    <t>Five Leadership Skills CIOs Need to Develop Before M&amp;As</t>
  </si>
  <si>
    <t>https://www.gartner.com/document/3859474</t>
  </si>
  <si>
    <t>Use Modeling to Ensure Early CIO Involvement for M&amp;A Success</t>
  </si>
  <si>
    <t>Introductory call – leveraging Gartner throughout the M&amp;A Process.</t>
  </si>
  <si>
    <t>M&amp;A Integration (Assess readiness, create elevator pitch, agree integration principles, plan work streams, identify risks).</t>
  </si>
  <si>
    <t>Perform top-down IT synergy analysis that leverages benchmarking information.</t>
  </si>
  <si>
    <t>IT Budgeting for Mergers and Acquisitions</t>
  </si>
  <si>
    <t>http://www.gartner.com/document/3792876?ref=customproposal</t>
  </si>
  <si>
    <t>Peer Network with a CIO who has successfully navigated M&amp;A activity.</t>
  </si>
  <si>
    <t>Prepare executive communications:</t>
  </si>
  <si>
    <t xml:space="preserve">Presenting an M&amp;A IT Integration Plan to the Executive Committee </t>
  </si>
  <si>
    <t>https://www.gartner.com/document/2434015</t>
  </si>
  <si>
    <t>Review proposed Synergies – map out Gartner support (Research, Toolkits, Inquiry for Integration Activities &amp; Synergy realization).</t>
  </si>
  <si>
    <t>Review research and conduct analyst calls specific to integration priorities/challenges e.g. application rationalization.</t>
  </si>
  <si>
    <t>Toolkit: Application Portfolio Business and Technical Fitness Assessment</t>
  </si>
  <si>
    <t>https://www.gartner.com/document/3891480</t>
  </si>
  <si>
    <t>Review research on change management including:</t>
  </si>
  <si>
    <t>Four Must-Have Practices for Successful Organizational Change</t>
  </si>
  <si>
    <t>https://www.gartner.com/document/code/333606</t>
  </si>
  <si>
    <t>Preparing a workforce integration plan:</t>
  </si>
  <si>
    <t>IT Workforce Management Challenges in Mergers and Acquisitions</t>
  </si>
  <si>
    <t>http://www.gartner.com/document/2057515</t>
  </si>
  <si>
    <t>Communication strategy and tools:</t>
  </si>
  <si>
    <t>Communicate With Empathy to Minimize Turmoil...</t>
  </si>
  <si>
    <t>https://www.gartner.com/document/3875973?ref=customproposal</t>
  </si>
  <si>
    <t>Use These 8 Communication Tools to Minimize Turmoil During Disruption</t>
  </si>
  <si>
    <t>Discussions specific to post merger operational and organizational model.</t>
  </si>
  <si>
    <t>Review progress, capture lessons learned for the serial M&amp;A playbook.</t>
  </si>
  <si>
    <t>Toolkit: Creating a Serial M&amp;A Playbook</t>
  </si>
  <si>
    <t>https://www.gartner.com/document/3056417</t>
  </si>
  <si>
    <t>Discussion specific to I&amp;O:</t>
  </si>
  <si>
    <t>How I&amp;O Can Survive and Thrive During Mergers and Acquisitions</t>
  </si>
  <si>
    <t>http://www.gartner.com/document/3605117</t>
  </si>
  <si>
    <t>Engage with analysts to consider cybersecurity implications across the M&amp;A process.</t>
  </si>
  <si>
    <t>Cybersecurity Is Critical to the M&amp;A Due Diligence Process</t>
  </si>
  <si>
    <t>https://www.gartner.com/document/3873604?ref=customproposal</t>
  </si>
  <si>
    <t>Discussion on synergy realization metrics.</t>
  </si>
  <si>
    <t xml:space="preserve">Clarify innovation objectives by completing the questionnaire in the research note below (see Appendix 1). </t>
  </si>
  <si>
    <t>Create a Research Engagement Plan to Advance Your Innovation Culture and Processes</t>
  </si>
  <si>
    <t>https://www.gartner.com/document/3619417</t>
  </si>
  <si>
    <t xml:space="preserve">Develop an innovation charter that defines the scope of the innovation effort, success metrics and goals. </t>
  </si>
  <si>
    <t>What a World-Class IT Innovation Charter Should Contain...</t>
  </si>
  <si>
    <t>https://www.gartner.com/document/code/200468</t>
  </si>
  <si>
    <t>Review draft of innovation charter as well as staffing/activity plans.</t>
  </si>
  <si>
    <t>Develop an innovation charter:</t>
  </si>
  <si>
    <t xml:space="preserve">What a World-Class IT Innovation Charter Should Contain and Why You Need One </t>
  </si>
  <si>
    <t>Kick-off workshop: Generate ideas, review trends, identify problem areas and technology opportunities.</t>
  </si>
  <si>
    <t>Toolkit: Example Ideation Workshop for Technology Innovation Leaders</t>
  </si>
  <si>
    <t>https://www.gartner.com/document/3771063</t>
  </si>
  <si>
    <t>Discuss approaches to launching experimentation for selected ideas.</t>
  </si>
  <si>
    <t>Team lunch and learn to navigate the expanding landscape of innovation approaches and practices:</t>
  </si>
  <si>
    <t>Jump Start Your Innovation Journey</t>
  </si>
  <si>
    <t>https://www.gartnereventsondemand.com/session-video/SYM27/30b</t>
  </si>
  <si>
    <t>Leverage Gartner’s Hype Cycle toolkit to develop a shortlist of areas where you need to innovate.</t>
  </si>
  <si>
    <t>Toolkit: Create Your Own Hype Cycle With Gartner’s Innovation Database</t>
  </si>
  <si>
    <t>https://www.gartner.com/document/3891707?ref=customproposal</t>
  </si>
  <si>
    <t>Discuss STREET framework for identifying and evaluating high-impact emerging technologies.</t>
  </si>
  <si>
    <t>Driving the STREET Process for Emerging Technology and Innovation Adoption</t>
  </si>
  <si>
    <t>https://www.gartner.com/document/1331653?ref=customproposal</t>
  </si>
  <si>
    <t>Network with a fellow EXP member who has an established IT innovation process.</t>
  </si>
  <si>
    <t>Use approaches from start ups for top-line business value creation.</t>
  </si>
  <si>
    <t xml:space="preserve">Innovate Like a Startup: The CIO's Front Office Toolkit </t>
  </si>
  <si>
    <t>https://www.gartner.com/document/2530815</t>
  </si>
  <si>
    <t>Jump-Start Your Innovation Journey - Customizable Roadmaps for Process, Culture and Outcomes.</t>
  </si>
  <si>
    <t xml:space="preserve">Leverage Gartner’s Hype Cycles for innovation </t>
  </si>
  <si>
    <t>Toolkit: Create Your Own Hype Cycle With Gartner's Technology Database</t>
  </si>
  <si>
    <t>https://www.gartner.com/document/3807163</t>
  </si>
  <si>
    <t>Experiment with different techniques to drive innovation:</t>
  </si>
  <si>
    <t>13 IT Innovation Habits of Enduringly Successful Alpha Organizations</t>
  </si>
  <si>
    <t>https://www.gartner.com/document/code/250368</t>
  </si>
  <si>
    <t>Troubleshooting calls on selected innovation streams.</t>
  </si>
  <si>
    <t xml:space="preserve">Laying the foundations for ensuring innovation projects can successfully scale. </t>
  </si>
  <si>
    <t>How to Scale Innovation Beyond Pretty Prototypes</t>
  </si>
  <si>
    <t>https://www.gartner.com/document/3876279</t>
  </si>
  <si>
    <t>Review peer discussions and templates:</t>
  </si>
  <si>
    <t>Innovation</t>
  </si>
  <si>
    <t>https://www.gartner.com/search/peerconv/simple?typeaheadTermType=&amp;typeaheadTermId=&amp;searchType=151&amp;keywords=innovation&amp;qid=bda11aa8a2bd7a906ef1f0d4c8998d0d&amp;pageValue=1</t>
  </si>
  <si>
    <t xml:space="preserve">Discuss best practices implemented by technology-risk-aggressive innovators. List 3-5 that should be instilled. </t>
  </si>
  <si>
    <t>https://www.gartner.com/document/2556119</t>
  </si>
  <si>
    <t>Explore AI opportunities.</t>
  </si>
  <si>
    <t>Innovation Insight for Artificial Intelligence of Things — Machine Learning in the IoT Era</t>
  </si>
  <si>
    <t>https://www.gartner.com/document/3808965</t>
  </si>
  <si>
    <t>Review latest research:</t>
  </si>
  <si>
    <t>https://www.gartner.com/search/research/simple?typeaheadTermType=&amp;typeaheadTermId=&amp;searchType=2&amp;keywords=Innovation&amp;qid=2e91560a5dd05feff8589e55eedd035c</t>
  </si>
  <si>
    <t>Complete the IT Budget Assessment to compare results against Key Metrics data for your sector.</t>
  </si>
  <si>
    <t>IT Budget Assessment</t>
  </si>
  <si>
    <t>https://www.gartner.com/explore/tools/it-budget</t>
  </si>
  <si>
    <t>Identify candidates for optimization. Prepare for workshop.</t>
  </si>
  <si>
    <t xml:space="preserve">Use Benchmarking to Identify IT Cost Optimization Opportunities </t>
  </si>
  <si>
    <t>https://www.gartner.com/document/3669717</t>
  </si>
  <si>
    <t xml:space="preserve">Review ITBudget assessment and prioritization results. </t>
  </si>
  <si>
    <t xml:space="preserve">Use Gartner's Principles framework to assess and challenge your existing activities. Assess their full potential using the prioritization toolkit. </t>
  </si>
  <si>
    <t>Using Gartner's Decision Framework...</t>
  </si>
  <si>
    <t>https://www.gartner.com/document/3816665</t>
  </si>
  <si>
    <t>Present a baseline from the IT Budget Tool. Perform a benefits realization assessment.</t>
  </si>
  <si>
    <t>Engage with analysts to review contracts due for renewal and identify opportunities for savings.</t>
  </si>
  <si>
    <t>Leverage toolkit to set targets for unit costs and staffing ratios.</t>
  </si>
  <si>
    <t>Use Gartner's IT Key Metrics Data 2018 to Optimize IT Costs</t>
  </si>
  <si>
    <t>https://www.gartner.com/document/3867970</t>
  </si>
  <si>
    <t>Consult on tactics to get the best deal when negotiating with software vendors. Leverage toolkit:</t>
  </si>
  <si>
    <t>Toolkit: Five-Step Process to Optimize Software License Contract Terms and Conditions</t>
  </si>
  <si>
    <t>https://www.gartner.com/document/3772108</t>
  </si>
  <si>
    <t>Network with a CIO who has had to significantly reduce costs.</t>
  </si>
  <si>
    <t>Read research to rationalize and consolidate vendors.</t>
  </si>
  <si>
    <t xml:space="preserve">Drive Cost Optimization... With IT Vendor Portfolio Rationalization </t>
  </si>
  <si>
    <t>https://www.gartner.com/document/3722218</t>
  </si>
  <si>
    <t xml:space="preserve">Team lunch and learn using Symposium replay. </t>
  </si>
  <si>
    <t>Cost Optimization Using Cloud Computing.</t>
  </si>
  <si>
    <t>https://www.gartnereventsondemand.com/session-video/SYM27/21e</t>
  </si>
  <si>
    <t>Explore additional ideas for IT cost optimization.</t>
  </si>
  <si>
    <t>Toolkit: Gartner's Top 100 IT Cost Optimization Ideas</t>
  </si>
  <si>
    <t>https://www.gartner.com/document/code/321718</t>
  </si>
  <si>
    <t>Engage with analysts on specific cost cutting priorities. Schedule pricing/contract reviews.</t>
  </si>
  <si>
    <t>Inquiry on customizing the critical success factors for improved success rates. Read first:</t>
  </si>
  <si>
    <t>Win at Cost Optimization With Nine CSF's and Their Metrics</t>
  </si>
  <si>
    <t>https://www.gartner.com/document/3795264</t>
  </si>
  <si>
    <t>Track progress, discuss blockers and draft a plan for next steps. Read research on communicating initiatives.</t>
  </si>
  <si>
    <t>Three-Year Roadmap for IT Cost Optimization</t>
  </si>
  <si>
    <t>https://www.gartner.com/document/3869911</t>
  </si>
  <si>
    <t>Embed cost optimization into ongoing strategy to manage the financial challenges.</t>
  </si>
  <si>
    <t>How CIOs Improve IT Leaders' Financial Acumen to Implement IT Strategy More Successfully</t>
  </si>
  <si>
    <t>https://www.gartner.com/document/3830868</t>
  </si>
  <si>
    <t>Engage with analysts on specific cost cutting priorities. Schedule pricing/contract reviews. Find the "next gear" of cost and productivity performance</t>
  </si>
  <si>
    <t>Discuss current state. Use Gartner's maturity model to improve the customer experience.</t>
  </si>
  <si>
    <t>CX Management Maturity Model</t>
  </si>
  <si>
    <t>https://www.gartner.com/document/3748973</t>
  </si>
  <si>
    <t>Review research to reconcile stakeholder perspectives on the CRM and CX initiatives.</t>
  </si>
  <si>
    <t>8 Building Blocks of CRM: Vision</t>
  </si>
  <si>
    <t>https://www.gartner.com/document/3401717</t>
  </si>
  <si>
    <t>https://www.gartner.com/document/3874972?ref=customproposal</t>
  </si>
  <si>
    <t>Review maturity results. Define success criteria for CRM &amp; CX program. Identify next steps.</t>
  </si>
  <si>
    <t xml:space="preserve">Inventory ongoing and planned CX projects. </t>
  </si>
  <si>
    <t>Seven Types of CX Project</t>
  </si>
  <si>
    <t>https://www.gartner.com/document/3854675?ref=customproposal</t>
  </si>
  <si>
    <t>Consult to optimally engage the customer by tying multiple systems together. Read first:</t>
  </si>
  <si>
    <t>Ten Steps for Planning Your Customer Engagement Hub</t>
  </si>
  <si>
    <t>https://www.gartner.com/document/3810863</t>
  </si>
  <si>
    <t>http://www.gartnereventsondemand.com/session-video/ESC27/33c</t>
  </si>
  <si>
    <t>(*Optional) Roadmap to a Differentiated Digital Customer Experience - session  to lay out a roadmap based on best practices.</t>
  </si>
  <si>
    <t>Inquiry on criteria to prioritize innovative experience ideas to build a differentiated customer experience.</t>
  </si>
  <si>
    <t>Evaluate additional ideas for consideration:</t>
  </si>
  <si>
    <t>The 10 Habits of Customer-Centric Organizations in the Age of Digital Business</t>
  </si>
  <si>
    <t>https://www.gartner.com/document/3705117</t>
  </si>
  <si>
    <t>Background reading for lunch and learn:</t>
  </si>
  <si>
    <t>Five Things to Know About the Next Generation of Customers</t>
  </si>
  <si>
    <t>https://www.gartner.com/document/3785166</t>
  </si>
  <si>
    <t>Network with a fellow EXP member who has previously focused on innovating the Customers' Experience</t>
  </si>
  <si>
    <t>Plan to engage with CX leaders to identify high-value use cases to drive innovation.</t>
  </si>
  <si>
    <t>How to Use AI to Improve the CX</t>
  </si>
  <si>
    <t>https://www.gartner.com/document/3871142</t>
  </si>
  <si>
    <t>Team lunch and learn using Symposium replay:</t>
  </si>
  <si>
    <t>Prepare for the Next Generation of Customers, Today</t>
  </si>
  <si>
    <t>https://www.gartnereventsondemand.com/session-video/SYM27/42i</t>
  </si>
  <si>
    <t>Engage with analysts for CRM tool selection and contract negotiation.</t>
  </si>
  <si>
    <t>Establish metrics for Customer Experience</t>
  </si>
  <si>
    <t>Use the Hierarchy of Customer Experience Metrics to Drive Action and Validate Business Outcomes</t>
  </si>
  <si>
    <t>https://www.gartner.com/document/3552417</t>
  </si>
  <si>
    <t>Understand and manage the CX metrics.</t>
  </si>
  <si>
    <t>How to Manage CX Metrics</t>
  </si>
  <si>
    <t>https://www.gartner.com/document/3057717?ref=customproposal</t>
  </si>
  <si>
    <t>Leverage objective scoring framework for optimal resource utilization.</t>
  </si>
  <si>
    <t>How to Prioritize CX Projects</t>
  </si>
  <si>
    <t>https://www.gartner.com/document/3888964?ref=customproposal</t>
  </si>
  <si>
    <t xml:space="preserve">Identify ROI metrics for CX improvement projects to link CX investment to financial benefit in order to prioritize investment in new technologies. </t>
  </si>
  <si>
    <t>CX 2018 Benchmarks: Turning ROI Into Reality</t>
  </si>
  <si>
    <t>https://www.gartner.com/document/3873985?ref=customproposal</t>
  </si>
  <si>
    <t>Review progress discuss goals to achieve the next level of Customer Experience maturity.</t>
  </si>
  <si>
    <t>Track progress. Discuss priorities to achieve the next level of customer experience maturity.</t>
  </si>
  <si>
    <t>Discuss current state and future state vision for ERP with EP. Create a roadmap.</t>
  </si>
  <si>
    <t>EXP Report: Strategic Roadmap for Postmodern ERP</t>
  </si>
  <si>
    <t>https://www.gartner.com/document/code/327361</t>
  </si>
  <si>
    <t>Discuss first steps - plan a readiness assessment and create a charter:</t>
  </si>
  <si>
    <t>Toolkit: Project Readiness Assessment</t>
  </si>
  <si>
    <t>https://www.gartner.com/document/3781963</t>
  </si>
  <si>
    <t>https://www.gartner.com/document/3727317</t>
  </si>
  <si>
    <t>Evaluate a tiered approach to ERP Strategy</t>
  </si>
  <si>
    <t>Evaluate a Tiered Approach in Your ERP Strategy</t>
  </si>
  <si>
    <t>https://www.gartner.com/document/3593017</t>
  </si>
  <si>
    <t>Review readiness assessment results and project charter on a call with an Analyst.</t>
  </si>
  <si>
    <t xml:space="preserve">Understand how trends and technology will shape the future state ERP to renovate ERP strategies. </t>
  </si>
  <si>
    <t>Predicts 2018: Postmodern ERP Evolves to Support Digital Business...</t>
  </si>
  <si>
    <t>https://www.gartner.com/document/3831575</t>
  </si>
  <si>
    <t>Create a business case for ERP modernization that aligns with business goals, delineates responsibilities, defines success metrics</t>
  </si>
  <si>
    <t>Postmodern ERP: A Business Case Tutorial</t>
  </si>
  <si>
    <t>https://www.gartner.com/document/code/318546</t>
  </si>
  <si>
    <t>Move from strategy and planning to architecture and selection:</t>
  </si>
  <si>
    <t>Defining the Five Phases of the Postmodern ERP Life Cycle</t>
  </si>
  <si>
    <t>https://www.gartner.com/document/3665717</t>
  </si>
  <si>
    <t>Review challenges faced in ERP modernization projects and the best practices to realize its value potential.</t>
  </si>
  <si>
    <t>Maximize the Value of Postmodern ERP Strategies</t>
  </si>
  <si>
    <t>https://www.gartner.com/document/3845469?ref=customproposal</t>
  </si>
  <si>
    <t>Map out a communication strategy for stakeholders that shifts the perception of ERP to digital business enabler.</t>
  </si>
  <si>
    <t>Engage Gartner analysts for 'Buy' vs 'Build' decision.</t>
  </si>
  <si>
    <t>Deciding to Buy or Build in the Postmodern ERP Era</t>
  </si>
  <si>
    <t>https://www.gartner.com/document/code/350605</t>
  </si>
  <si>
    <t>Leverage Toolkit to create a project charter for the ERP modernization project.</t>
  </si>
  <si>
    <t>Toolkit: Postmodern ERP Project Charter</t>
  </si>
  <si>
    <t>Discuss bimodal adoption for ERP Implementation.</t>
  </si>
  <si>
    <t>Improve Postmodern ERP Project Success by Applying Lessons Learned From Early Adopters of Bimodal IT</t>
  </si>
  <si>
    <t>https://www.gartner.com/document/3803064</t>
  </si>
  <si>
    <t>Discuss integration challenges associated with postmodern ERP. Read first:</t>
  </si>
  <si>
    <t>How to Create an Integration Strategy That Supports Postmodern ERP</t>
  </si>
  <si>
    <t>https://www.gartner.com/document/3874898?ref=customproposal</t>
  </si>
  <si>
    <t>The 10 Ugly Truths of Postmodern ERP: session about postmodern ERP scenarios, and how CIOs can mitigate the complexity.</t>
  </si>
  <si>
    <t xml:space="preserve">Develop guiding principles that support execution of the ERP strategy and establish effective long-term governance. </t>
  </si>
  <si>
    <t>Toolkit: Assess Three Criteria to Create Principles for Postmodern ERP Strategy and Governance</t>
  </si>
  <si>
    <t>https://www.gartner.com/document/3756170</t>
  </si>
  <si>
    <t>Review peer content and discussions.</t>
  </si>
  <si>
    <t>ERP</t>
  </si>
  <si>
    <t>https://www.gartner.com/search/peerconv/simple?typeaheadTermType=&amp;typeaheadTermId=&amp;searchType=151&amp;keywords=erp&amp;qid=02e120c809a311cd5714d4847ad15a49</t>
  </si>
  <si>
    <t xml:space="preserve">Discussion on accelerating ERP adoption, productivity and benefits realization using the best practices. </t>
  </si>
  <si>
    <t>Best Practices for Accelerating ERP Time to Benefits</t>
  </si>
  <si>
    <t>https://www.gartner.com/document/3837070</t>
  </si>
  <si>
    <t>Peer conversations.</t>
  </si>
  <si>
    <t>Postmodern ERP</t>
  </si>
  <si>
    <t>Discuss establishing best practices in working with business stakeholders to ensure successful phases, go-lives and releases. Read:</t>
  </si>
  <si>
    <t>Planning Deployments and New Releases...</t>
  </si>
  <si>
    <t>https://www.gartner.com/document/3887690</t>
  </si>
  <si>
    <t>Track progress, explore additional opportunities and draft a plan for next steps.</t>
  </si>
  <si>
    <t>Review MS contract expiry date and plan renewal activities for the year.</t>
  </si>
  <si>
    <t>Scoping call: 1) Current state 2) Recent  licensing changes 3) EA Renewal Project Plan &amp; SAM Initiatives.</t>
  </si>
  <si>
    <t>Review research on Microsoft licensing.</t>
  </si>
  <si>
    <t>Microsoft Licensing</t>
  </si>
  <si>
    <t>https://www.gartner.com/search/research/simple?typeaheadTermType=&amp;typeaheadTermId=&amp;searchType=2&amp;keywords=Microsoft%20license&amp;qid=95d106e806eb697b8883a5e3af6956fe&amp;binValue=RSKiPSearchFacet==Negotiating%20Software%20and%20Cloud%20Contracts||10390</t>
  </si>
  <si>
    <t>Review Server Portfolio :  1) SQL, Visual Studio, Project Server, Windows Server, Systems Center 2) Dynamics 365  3) Cloud Enrollments  4) Azure.</t>
  </si>
  <si>
    <t>Mid year checkpoint calendarize remaining activities.</t>
  </si>
  <si>
    <t>Continue to leverage research for planning &amp; negotiation.</t>
  </si>
  <si>
    <t>Microsoft Negotiation</t>
  </si>
  <si>
    <t>https://www.gartner.com/search/research/simple?typeaheadTermType=&amp;typeaheadTermId=&amp;searchType=2&amp;keywords=Microsoft%20negotiation%20planning%20&amp;qid=5e0b30c1195061940b564d7938541ac5&amp;binValue=RSKiPSearchFacet==Negotiating%20Software%20and%20Cloud%20Contracts||10390</t>
  </si>
  <si>
    <t>Align licensing requirements:  1) O365  2) Cloud strategy and migration  3) SA Entitlements  4) User profiling  5) Bundle options.</t>
  </si>
  <si>
    <t>Review renewal options:  1) Cloud vs Hybrid  2) Contract leverage and agreement options  3) Plan B fall back options.</t>
  </si>
  <si>
    <t>60 days Prior - Preliminary proposal review.</t>
  </si>
  <si>
    <t>30 days Prior - Final negotiated proposal review.</t>
  </si>
  <si>
    <t>Document savings &amp; negotiation wins.</t>
  </si>
  <si>
    <t>Discuss goals for Digital Leadership. Review EXP report and create a roadmap of next steps</t>
  </si>
  <si>
    <t>EXP Report: CIOs, Here’s How to Act Like a Digital Business Leader</t>
  </si>
  <si>
    <t>https://www.gartner.com/explore/exp-reports/research/3889131</t>
  </si>
  <si>
    <t xml:space="preserve">Review leadership research. Read first: </t>
  </si>
  <si>
    <t>Leadership in the Digital Age: A Gartner Trend Insight Report</t>
  </si>
  <si>
    <t>https://www.gartner.com/document/3862963</t>
  </si>
  <si>
    <t>Watch the webinar replay:</t>
  </si>
  <si>
    <t>Five Steps for CIOs to Cultivate Digital Leadership Mindsets and Behaviors</t>
  </si>
  <si>
    <t>https://www.gartner.com/webinar/3645518</t>
  </si>
  <si>
    <t xml:space="preserve">Creating a robust and scalable enterprise change capability. 
</t>
  </si>
  <si>
    <t>How to Start a Transformational Change Initiative</t>
  </si>
  <si>
    <t>https://www.gartner.com/document/3879494?</t>
  </si>
  <si>
    <t>Discuss leadership goals. Identify gaps and opportunities for development.</t>
  </si>
  <si>
    <t>Toolkit: Five Situational Leadership Types</t>
  </si>
  <si>
    <t>https://www.gartner.com/document/3783566</t>
  </si>
  <si>
    <t xml:space="preserve">Watch the webinar replay: 
</t>
  </si>
  <si>
    <t xml:space="preserve">Review research on digital leadership. 
</t>
  </si>
  <si>
    <t>https://www.gartner.com/document/3731617</t>
  </si>
  <si>
    <t>Strategies for personal development in leadership.</t>
  </si>
  <si>
    <t>CIOs Can Become Stronger Digital Transformation Leaders by Training the Brain</t>
  </si>
  <si>
    <t>https://www.gartner.com/document/3723445</t>
  </si>
  <si>
    <t>Networking dinner - Establish a network of leading CIOs in the local area.</t>
  </si>
  <si>
    <t>Networking with a CIO who has shaped his team for a digital transformation</t>
  </si>
  <si>
    <t>Read about effective team leadership.</t>
  </si>
  <si>
    <t>The 'We' in Team: Understand Your Team to Be a Better Team Leader"</t>
  </si>
  <si>
    <t>https://www.gartner.com/document/code/326564</t>
  </si>
  <si>
    <t>Strategies for developing the leadership skills of your immediate team to support your future state goals.</t>
  </si>
  <si>
    <t xml:space="preserve">Workshop cultivating leadership mindsets and behaviors.
</t>
  </si>
  <si>
    <t>https://www.gartner.com/document/3534841</t>
  </si>
  <si>
    <t>Improve team leadership skills.</t>
  </si>
  <si>
    <t>Ongoing discussions on leadership and communication. Review of board presentations etc.</t>
  </si>
  <si>
    <t xml:space="preserve">Review the Gartner ESCAPE model and discuss how this model can be applied during the transformation efforts.
</t>
  </si>
  <si>
    <t>ESCAPE the Past: Six Steps to Successful Change Leadership</t>
  </si>
  <si>
    <t>https://www.gartner.com/document/3509017</t>
  </si>
  <si>
    <t>(*Optional)How to re-master your leadership style using Gartner's "Six Personas" fit for leading and influencing in a climate of Digital Business.</t>
  </si>
  <si>
    <t>Put leadership skills in to practice.</t>
  </si>
  <si>
    <t xml:space="preserve">CIOs Must Leverage Both Business Models and Strategy </t>
  </si>
  <si>
    <t>https://www.gartner.com/document/3815965</t>
  </si>
  <si>
    <t>Business Model Leadership — The CIO’s Greatest Value Contribution</t>
  </si>
  <si>
    <t xml:space="preserve">Discuss specific areas of concern and risk with a Gartner subject matter expert. 
</t>
  </si>
  <si>
    <t xml:space="preserve">Review key messages from the book Switch: "Direct the Rider, Motivate the Elephant, Shape the Path."  
</t>
  </si>
  <si>
    <t>Switch: How to Change Things When Change Is Hard</t>
  </si>
  <si>
    <t>https://www.amazon.com/Switch-Change-Things-When-Hard-ebook/dp/B0030DHPGQ/ref=dp_kinw_strp_1</t>
  </si>
  <si>
    <t>Understanding emotional intelligence.</t>
  </si>
  <si>
    <t>Emotional Intelligence Is an Investment CIOs Must Make for Business Success</t>
  </si>
  <si>
    <t>https://www.gartner.com/document/3791463</t>
  </si>
  <si>
    <t>Discuss on techniques to strengthen stakeholder relationships and level of influence.</t>
  </si>
  <si>
    <t xml:space="preserve">Learn about the best practices in building high-performance teams. 
</t>
  </si>
  <si>
    <t>The Art of Building High-Performing Teams</t>
  </si>
  <si>
    <t>https://www.gartner.com/document/3890089</t>
  </si>
  <si>
    <t xml:space="preserve">Discuss on techniques to strengthen stakeholder relationships and level of influence.
</t>
  </si>
  <si>
    <t>Leadership coaching discussion  around a current challenge. e.g. Tackling a difficult political situation.</t>
  </si>
  <si>
    <t xml:space="preserve">Leadership coaching discussion around a current challenge. e.g. Tackling a difficult political situation.
</t>
  </si>
  <si>
    <t>Lunch and Learn: The 2019 CIO Agenda Presentation insights &amp; actions.</t>
  </si>
  <si>
    <t>Review "Maverick" research</t>
  </si>
  <si>
    <t xml:space="preserve">Embrace Inclusion to Improve Team Performance </t>
  </si>
  <si>
    <t>https://www.gartner.com/document/3803478</t>
  </si>
  <si>
    <t xml:space="preserve">Review latest research.
</t>
  </si>
  <si>
    <t>Digital Leadership</t>
  </si>
  <si>
    <t>https://www.gartner.com/search/research/simple?typeaheadTermType=&amp;typeaheadTermId=&amp;searchType=2&amp;keywords=digital%20leadership&amp;qid=2b559e03fea9e0437c0e83523178101f&amp;sortType=date</t>
  </si>
  <si>
    <t>Build CIO Leadership Forum Agenda. Schedule upcoming contract reviews.</t>
  </si>
  <si>
    <t>Research highlights:</t>
  </si>
  <si>
    <t>CIO's New Year Resolutions</t>
  </si>
  <si>
    <t>https://www.gartner.com/search/research/simple?typeaheadTermType=&amp;typeaheadTermId=&amp;searchType=2&amp;keywords=title%3A%22CIO%20New%20Year%27s%20Resolutions%22&amp;qid=7cb52414148773cab91243de6812874a&amp;sortType=date</t>
  </si>
  <si>
    <t>Conduct annual strategy review. Preparing for an effective year.</t>
  </si>
  <si>
    <t>Monthly call - Annual strategy review / Transformational Planning</t>
  </si>
  <si>
    <t>Network with CIOs, listen to thought-leading presentations, meet analysts’ 1:1 for advice.</t>
  </si>
  <si>
    <t>Benchmark costs and IT management maturity: Using Gartner ITBudget and ITScore, work with EP and analysts to assess and drive improvement.</t>
  </si>
  <si>
    <t>ITScore</t>
  </si>
  <si>
    <t>https://www.gartner.com/explore/tools/it-score</t>
  </si>
  <si>
    <t>Discuss options for analyst briefing/lunch and learn topics.</t>
  </si>
  <si>
    <t>Benchmark costs and IT management maturity: Using Gartner ITBudget and ITScore, work with EP and analysts to assess and drive improvement</t>
  </si>
  <si>
    <t>IT Score</t>
  </si>
  <si>
    <t>Monthly call</t>
  </si>
  <si>
    <t>Participate in CIO survey</t>
  </si>
  <si>
    <t>Annual cost optimization review</t>
  </si>
  <si>
    <t>Latest Cool Vendors Insights</t>
  </si>
  <si>
    <t>https://www.gartner.com/technology/research/cool-vendors/</t>
  </si>
  <si>
    <t>Schedule upcoming contract reviews.</t>
  </si>
  <si>
    <t>Attend a local networking event: Gain new insights to reduce risk or deliver new initiatives.</t>
  </si>
  <si>
    <t>Symposium agenda building.</t>
  </si>
  <si>
    <t>Portal refresh - align Key Initiative tracks</t>
  </si>
  <si>
    <t>Latest Hype Cycle Special Report</t>
  </si>
  <si>
    <t>https://www.gartner.com/technology/research/hype-cycles/</t>
  </si>
  <si>
    <t>Gain new insights from analyst presentations, network with industry peers, visit vendor ITXpo.</t>
  </si>
  <si>
    <t>Review CIO Agenda &amp; CIO Survey Peer Report with Executive Partner: Determine areas for investigation and improvement.</t>
  </si>
  <si>
    <t>Post Symposium review: Session highlights, insights gained, networking connection follow ups and further analyst calls.</t>
  </si>
  <si>
    <t>Workforce assessment - Gartner / Mercer compensation survey results (Americas)</t>
  </si>
  <si>
    <t>Latest IT Key Metrics Data</t>
  </si>
  <si>
    <t>https://www.gartner.com/explore/metrics-and-tools/itkmd</t>
  </si>
  <si>
    <t xml:space="preserve">Discuss the Gartner maturity model/ITScore process and the relationship between IT maturity and successful transformation. 
</t>
  </si>
  <si>
    <t>Gartner ITScore research methodology</t>
  </si>
  <si>
    <t>https://www.gartner.com/technology/research/methodologies/it-score.jsp</t>
  </si>
  <si>
    <t xml:space="preserve">Scoping call – best practices for completing an ITScore. Selecting which assessments to complete first.  </t>
  </si>
  <si>
    <t>ITScore Assessments</t>
  </si>
  <si>
    <t>Workshop with the IT leadership team to launch the ITScore assessment process.</t>
  </si>
  <si>
    <t>ITScore for the Enterprise</t>
  </si>
  <si>
    <t>https://www.gartner.com/document/3817867</t>
  </si>
  <si>
    <t>Discuss delegation of the 14 ITScore diagnostic assessments to the members of your team.</t>
  </si>
  <si>
    <t xml:space="preserve">Review of ITScore assessments  to gain an understanding of your overall strengths and weaknesses, and how you to compare with similar enterprises.
</t>
  </si>
  <si>
    <t>Work with the Executive Partner to interpret the ITScore reports, put them in context, and prioritize follow up action.</t>
  </si>
  <si>
    <t>Explore research specific to maturity improvement initiatives. e.g. focus on I&amp;O</t>
  </si>
  <si>
    <t xml:space="preserve">Four ITScore Best Practices to Accelerate I&amp;O and ITSM Maturity </t>
  </si>
  <si>
    <t>https://www.gartner.com/document/3613017</t>
  </si>
  <si>
    <t>Review research.</t>
  </si>
  <si>
    <t>Three Practices to Shift Business Expectations of IT Beyond 'Run the Business</t>
  </si>
  <si>
    <t>https://www.gartner.com/document/3561119</t>
  </si>
  <si>
    <t>Work with an analyst to identify research to help you to respond to the ITScore assessments and plan next steps.</t>
  </si>
  <si>
    <t>ITScore Toolkits</t>
  </si>
  <si>
    <t>https://www.gartner.com/search/research/simple?typeaheadTermType=&amp;typeaheadTermId=&amp;searchType=2&amp;keywords=ITScore%20Toolkit&amp;qid=e4c2c49acc5073199b284e7ef8324e38&amp;pageValue=2</t>
  </si>
  <si>
    <t>Peer Network with a CIO who has achieved moving to the next level of maturity.</t>
  </si>
  <si>
    <t>Review report on design of new IT operating models to support digital business and in the process advance IT maturity.</t>
  </si>
  <si>
    <t>EXP Report: Redesign the IT Operating Model to Accelerate Digital Business</t>
  </si>
  <si>
    <t>https://www.gartner.com/explore/exp-reports/research/3833668</t>
  </si>
  <si>
    <t>Discuss specific to maturity improvement initiatives. Review progress and troubleshoot issues. e.g. Focus on applications.</t>
  </si>
  <si>
    <t>Moving Up the ITScore Application Maturity Ladder: How Far and How Fast?</t>
  </si>
  <si>
    <t>https://www.gartner.com/document/3806864</t>
  </si>
  <si>
    <t>Plan for next annual ITScore  maturity assessment.</t>
  </si>
  <si>
    <t>Benchmark performance against prior year survey. Document improvements made. Prioritize future actions.</t>
  </si>
  <si>
    <t>Conduct a digital skills assessment.</t>
  </si>
  <si>
    <t>Assess Your IT Bench Strength for Digital Business Transformation</t>
  </si>
  <si>
    <t>https://www.gartner.com/document/3407419</t>
  </si>
  <si>
    <t xml:space="preserve">Review a strategic and integrated approach to building a skilled IT workforce </t>
  </si>
  <si>
    <t>How to Plan, Recruit, Develop and Retain a Skilled IT Workforce</t>
  </si>
  <si>
    <t>https://www.gartner.com/document/3323917?ref=customproposal</t>
  </si>
  <si>
    <t>Review assessment results and discuss viable approaches to digital skills development.</t>
  </si>
  <si>
    <t>Promote local IT networking events and opportunities.</t>
  </si>
  <si>
    <t>Get the Right People in Your Digital Organization.</t>
  </si>
  <si>
    <t>Discuss strategies to accelerate digital skills development and knowledge transfer across IT.</t>
  </si>
  <si>
    <t>Four Ways for CIOs to Cultivate Digital Dexterity in Leadership and the Workforce</t>
  </si>
  <si>
    <t>https://www.gartner.com/document/code/342145</t>
  </si>
  <si>
    <t>Analyst review of current workforce development plan – troubleshoot challenges, establish priorities.</t>
  </si>
  <si>
    <t>Team lunch and learn.</t>
  </si>
  <si>
    <t>Maverick to the Point: How to Manage a “Selfie-Centered” Workforce</t>
  </si>
  <si>
    <t>https://www.gartnereventsondemand.com/session-video/SYM26/31d</t>
  </si>
  <si>
    <t>Setting a Strong Foundation: Building Business Acumen in the IT Workforce.</t>
  </si>
  <si>
    <t>Revamp your professional development program.</t>
  </si>
  <si>
    <t>Enrich Professional Development Through a Continuous-Learning Culture</t>
  </si>
  <si>
    <t>https://www.gartner.com/document/code/343031</t>
  </si>
  <si>
    <t>Review new perspectives of workforce development.</t>
  </si>
  <si>
    <t>Millennial Digital Workers Really Do Differ From Their Elders</t>
  </si>
  <si>
    <t>https://www.gartner.com/document/3862563</t>
  </si>
  <si>
    <t>Discuss most recent perspectives on workforce metrics.</t>
  </si>
  <si>
    <t>Discuss the requisites for the future of WFM.</t>
  </si>
  <si>
    <t>Prepare Yourself for the Future of Workforce Management</t>
  </si>
  <si>
    <t>https://www.gartner.com/document/3860963?ref=customproposal</t>
  </si>
  <si>
    <t>Explore future opportunities.</t>
  </si>
  <si>
    <t>Transform Talent Acquisition With Artificial Intelligence and Machine Learning</t>
  </si>
  <si>
    <t>https://www.gartner.com/document/3803663</t>
  </si>
  <si>
    <t xml:space="preserve">Re-run the digital skills assessment. Review progress, revisit priorities. </t>
  </si>
  <si>
    <t>Discuss and strategize next steps for enterprise change capability.</t>
  </si>
  <si>
    <t>Define a Roadmap for Your Culture Change Journey</t>
  </si>
  <si>
    <t>https://www.gartner.com/document/3888869</t>
  </si>
  <si>
    <t>On customizable frameworks to define the culture change roadmap.</t>
  </si>
  <si>
    <t>Culture Crush: Design Your Roadmap for a Culture of Innovation</t>
  </si>
  <si>
    <t>https://www.gartner.com/document/3891701</t>
  </si>
  <si>
    <t>Review culture assessment methods and how to use them.</t>
  </si>
  <si>
    <t>4 Methods to Assess Your Culture</t>
  </si>
  <si>
    <t>https://www.gartner.com/document/3889065</t>
  </si>
  <si>
    <t xml:space="preserve">Five dimensions of culture that are starting points for culture change. 
</t>
  </si>
  <si>
    <t>Introducing Five Dimensions That Shape Your Culture</t>
  </si>
  <si>
    <t>https://www.gartner.com/document/3875988</t>
  </si>
  <si>
    <t>The Art of Culture Hacking</t>
  </si>
  <si>
    <t xml:space="preserve">Review key messages from the book: </t>
  </si>
  <si>
    <t xml:space="preserve">Workshop to develop and communicate a  “change story” to help employees navigate the change journey. 
</t>
  </si>
  <si>
    <t>Compose the From/To/Because Story to Convey a Change Journey</t>
  </si>
  <si>
    <t>Review peer perspectives on culture hacking.</t>
  </si>
  <si>
    <t>Culture Hacks Get Things Done</t>
  </si>
  <si>
    <t>https://www.gartner.com/document/3843396</t>
  </si>
  <si>
    <t>Connect with a CIO who has guided his organization through a culture change initiative.</t>
  </si>
  <si>
    <t>Explore ideas from existing digital cultures.</t>
  </si>
  <si>
    <t xml:space="preserve">Ten Basic Management Ideas to Import From Born-Digital Companies </t>
  </si>
  <si>
    <t>https://www.gartner.com/document/3533624</t>
  </si>
  <si>
    <t xml:space="preserve">Creating a culture that is ready for anything - In this session we explore 4 dials that can be used to influence different attributes of culture. 
</t>
  </si>
  <si>
    <t>Research on targeting the people side of change and make culture a strength of the firm.</t>
  </si>
  <si>
    <t>Change Leadership Research Index</t>
  </si>
  <si>
    <t>https://www.gartner.com/document/3878464</t>
  </si>
  <si>
    <t>Troubleshoot roadblocks affecting culture change progress.</t>
  </si>
  <si>
    <t>Creating an environment for colleagues and staff to express challenges.</t>
  </si>
  <si>
    <t>CIOs Must Embrace Change Frustration as a Positive Sign of Engagement</t>
  </si>
  <si>
    <t>https://www.gartner.com/document/3810870</t>
  </si>
  <si>
    <t xml:space="preserve">Download the free e-book "Culture in Action"  - A Leader’s Guide to Building an Organizational Culture That Performs. 
</t>
  </si>
  <si>
    <t>Smarter with Gartner - Lead Culture Change</t>
  </si>
  <si>
    <t>https://www.gartner.com/smarterwithgartner/lead-culture-change/</t>
  </si>
  <si>
    <t>Discuss employee feedback survey.</t>
  </si>
  <si>
    <t xml:space="preserve">Consult with an EP. Discuss current strategy and complete the maturity assessment to gauge exposure to critical risks. </t>
  </si>
  <si>
    <t>ITScore for Information Security</t>
  </si>
  <si>
    <t>https://www.gartner.com/document/3231718</t>
  </si>
  <si>
    <t xml:space="preserve">Review foundational research. Read first: </t>
  </si>
  <si>
    <t>Security Management Strategy Planning Best Practices</t>
  </si>
  <si>
    <t>https://www.gartner.com/document/code/223694</t>
  </si>
  <si>
    <t xml:space="preserve">Discuss IT Score results with an analyst and prioritize actions to take to address gaps in security management.  </t>
  </si>
  <si>
    <t>Outline current threat detection and mitigation policies. Leverage toolkit to plan for and respond to the challenges of targeted cyber attacks.</t>
  </si>
  <si>
    <t>Toolkit: Tabletop Exercise for Cyberattack Preparation and Response</t>
  </si>
  <si>
    <t>https://www.gartner.com/document/3830146</t>
  </si>
  <si>
    <t>Review research: Core security processes necessary to satisfy governance and audit requirements.</t>
  </si>
  <si>
    <t>The Security Processes You Must Get Right</t>
  </si>
  <si>
    <t>https://www.gartner.com/document/3120617</t>
  </si>
  <si>
    <t>Expert led session on how to conduct a more robust assessment of cybersecurity risk to aid decision making on project prioritization &amp; capital spend.</t>
  </si>
  <si>
    <t>Finalize Security strategy and leverage Toolkit to develop a security strategy.</t>
  </si>
  <si>
    <t>Toolkit: Security Strategy Template</t>
  </si>
  <si>
    <t>https://www.gartner.com/document/3777363</t>
  </si>
  <si>
    <t>Craft an approach to stakeholder communications on security &amp; risk. Leverage Toolkit for board-relevant and business-aligned content.</t>
  </si>
  <si>
    <t>Toolkit: Board-Ready Slides for Cybersecurity and Technology Risk</t>
  </si>
  <si>
    <t>https://www.gartner.com/document/3726017</t>
  </si>
  <si>
    <t>Team lunch and learn event.</t>
  </si>
  <si>
    <t xml:space="preserve">Develop a Pragmatic Security Vision and Strategy </t>
  </si>
  <si>
    <t>http://www.gartnereventsondemand.com/session-video/SYM27/31a</t>
  </si>
  <si>
    <t>Review board presentation.</t>
  </si>
  <si>
    <t xml:space="preserve">Toolkit: Board-Ready Slides for Cybersecurity and Technology Risk </t>
  </si>
  <si>
    <t>Information Security</t>
  </si>
  <si>
    <t>https://www.gartner.com/search/peerconv/simple?typeaheadTermType=&amp;typeaheadTermId=&amp;searchType=151&amp;keywords=information%20security&amp;qid=d3f2a3b5cc6cb971875a1d9a6b7b832c</t>
  </si>
  <si>
    <t>Document Review of Security Incident Response Procedure.</t>
  </si>
  <si>
    <t>Engage with an analyst on sensitive data classification and handling policies.</t>
  </si>
  <si>
    <t>Building Effective Control Documents...</t>
  </si>
  <si>
    <t>https://www.gartner.com/document/3835264</t>
  </si>
  <si>
    <t>Review peer conversation:</t>
  </si>
  <si>
    <t xml:space="preserve">Discuss running a Business Impact Analysis exercise to drive priorities for Incident Response preparation. </t>
  </si>
  <si>
    <t>Create metrics that are leading indicators with defensible causal relationships to business outcomes.</t>
  </si>
  <si>
    <t>Develop KRIs and Security Metrics That Influence Business Decision Making</t>
  </si>
  <si>
    <t>https://www.gartner.com/document/3884488?ref=customproposal</t>
  </si>
  <si>
    <t>Review security metrics research. Read first:</t>
  </si>
  <si>
    <t xml:space="preserve">Sharpen Your Security Metrics to Make Them Relevant and Effective </t>
  </si>
  <si>
    <t>https://www.gartner.com/document/2738918</t>
  </si>
  <si>
    <t>Analyst discussion on budgeting, financial analytics, and investments relating to your data security initiatives.</t>
  </si>
  <si>
    <t>Use Infonomics to Reset Data Security Budgets</t>
  </si>
  <si>
    <t>https://www.gartner.com/document/3834363</t>
  </si>
  <si>
    <t xml:space="preserve">Consult on best practices in creating Security policies. </t>
  </si>
  <si>
    <t>Five Golden Rules for Creating Effective Security Policy</t>
  </si>
  <si>
    <t>https://www.gartner.com/document/code/259725</t>
  </si>
  <si>
    <t>Read research to improve security awareness with executives.</t>
  </si>
  <si>
    <t>Critical Elements for Your Security Program's Success</t>
  </si>
  <si>
    <t>https://www.gartner.com/document/3726117</t>
  </si>
  <si>
    <t>Assess progress to date, document wins in business value terms, prioritize and plan next 90 days.</t>
  </si>
  <si>
    <t>Redo the IT Score, assessment, measure progress &amp; re-prioritize.</t>
  </si>
  <si>
    <t>Discuss contract review service. Compile a vendor contract expiry calendar – set reminders for contract review checkpoints.</t>
  </si>
  <si>
    <t>Engage with analysts on specific cost cutting priorities. Schedule analyst pricing/contract reviews.</t>
  </si>
  <si>
    <t>Review upcoming purchases and contract renewals. Schedule reviews with analysts.</t>
  </si>
  <si>
    <t>Discuss cloud roadmap and how to leverage Gartner’s cloud strategy framework.</t>
  </si>
  <si>
    <t>Bimodal Cloud Strategy</t>
  </si>
  <si>
    <t>https://www.gartner.com/document/3772072</t>
  </si>
  <si>
    <t xml:space="preserve">Review &amp; assess current state of cloud strategy. Discuss visions, goals &amp; next steps. </t>
  </si>
  <si>
    <t>Effective Cloud Computing Strategy by Answering Five Key Questions</t>
  </si>
  <si>
    <t>https://www.gartner.com/document/3170720</t>
  </si>
  <si>
    <t>Review research on the importance of having a cloud strategy.</t>
  </si>
  <si>
    <t>What CIOs Need to Know....</t>
  </si>
  <si>
    <t>https://www.gartner.com/document/3369117</t>
  </si>
  <si>
    <t xml:space="preserve">Building the business case for cloud strategy. Focus on articulating business benefits that are aligned with business goals. 
</t>
  </si>
  <si>
    <t>Justification for Moving to the Cloud</t>
  </si>
  <si>
    <t>https://www.gartner.com/document/3715018</t>
  </si>
  <si>
    <t>A cloud specialist will describe the state of cloud computing, major strategy elements and will explore tactics critical to driving cloud success.</t>
  </si>
  <si>
    <t>Review research on aligned vendors (IaaS, PaaS, SaaS, Colo, Hosting).</t>
  </si>
  <si>
    <t>Hype Cycle for Cloud Computing, 2018</t>
  </si>
  <si>
    <t>https://www.gartner.com/document/3884671?ref=customproposal</t>
  </si>
  <si>
    <t>Peer network with fellow CIO who has achieved enterprise-wide adoption of cloud at scale.</t>
  </si>
  <si>
    <t xml:space="preserve">Review research on current trends in I&amp;O - on moving away from Data-Centers towards 
 colocation, hosting and the cloud. </t>
  </si>
  <si>
    <t>Prepare for the Death of the Data Center as We Know It</t>
  </si>
  <si>
    <t>https://www.gartner.com/document/3876269</t>
  </si>
  <si>
    <t xml:space="preserve">Leverage Gartner analysts for cloud technology selection and contract/pricing negotiations. 
</t>
  </si>
  <si>
    <t>Leverage Contract Amendments for Software &amp; Cloud Negotiations</t>
  </si>
  <si>
    <t>https://www.gartner.com/document/3870079</t>
  </si>
  <si>
    <t>Network with a CIO around realizing cloud benefits.</t>
  </si>
  <si>
    <t xml:space="preserve">Review impact of movement to cloud on the structure, missions, and roles of and within IT organizations. 
</t>
  </si>
  <si>
    <t>Evolve Your  I&amp;O Organization to Remain Relevant in the Cloud Era</t>
  </si>
  <si>
    <t>https://www.gartner.com/document/3746518</t>
  </si>
  <si>
    <t xml:space="preserve">Understand the next waves of technologies building on cloud and discuss how cloud computing capabilities can be leveraged to drive business benefits.
</t>
  </si>
  <si>
    <t>https://www.gartner.com/document/3884671</t>
  </si>
  <si>
    <t>How to measure and communicate cloud benefits realization.</t>
  </si>
  <si>
    <t xml:space="preserve">Review best practices to securely leverage Cloud. Align current policies with best practices.  </t>
  </si>
  <si>
    <t>How to Retain the Right Kinds of Control in the Cloud</t>
  </si>
  <si>
    <t>https://www.gartner.com/document/3647517</t>
  </si>
  <si>
    <t>https://www.gartner.com/document/3850266</t>
  </si>
  <si>
    <t xml:space="preserve">Working session to assess progress and plan next steps.
</t>
  </si>
  <si>
    <t>Review current governance processes. Discuss the issues driving the need for change. Create/update your governance charter.</t>
  </si>
  <si>
    <t>Toolkit: Governance Charter</t>
  </si>
  <si>
    <t>https://www.gartner.com/document/2232515</t>
  </si>
  <si>
    <t>Read research on making governance more adaptable.</t>
  </si>
  <si>
    <t xml:space="preserve">EXP Report: Adaptive IT Governance </t>
  </si>
  <si>
    <t>https://www.gartner.com/document/3714223</t>
  </si>
  <si>
    <t xml:space="preserve">Review the governance charter. Discuss how CIOs must act as a change agent while transitioning to a new governance model.  </t>
  </si>
  <si>
    <t xml:space="preserve">Lunch &amp; Learn replay on how to adapt IT Governance to meet current &amp; future demands for digital. </t>
  </si>
  <si>
    <t xml:space="preserve">Digital Requires a Hard Reset on IT Governance </t>
  </si>
  <si>
    <t>https://www.gartnereventsondemand.com/session-video/SYM25/41d</t>
  </si>
  <si>
    <t>Working session around:</t>
  </si>
  <si>
    <t xml:space="preserve">The IT Investment Council: What to Do and When to Do It </t>
  </si>
  <si>
    <t>Engage with analysts to initiate/improve governance, focusing on the elements most critical to delivering value. Read first:</t>
  </si>
  <si>
    <t>EXP Report: Practical Governance</t>
  </si>
  <si>
    <t>https://www.gartner.com/document/1479716</t>
  </si>
  <si>
    <t>Creating an effective IT investment council (also known as "IT governance council") to maximize the value of investments involving IT.</t>
  </si>
  <si>
    <t>The IT Investment Council: What to Do and When to Do it</t>
  </si>
  <si>
    <t>Governance Strategies for Business Unit IT.</t>
  </si>
  <si>
    <t>Guide CIOs on how to tailor governance and extend the governance repertoire to deliver outcomes at the speed of digital business.</t>
  </si>
  <si>
    <t>Research Presentation for 'Adaptive IT Governance'</t>
  </si>
  <si>
    <t>https://www.gartner.com/document/3788463</t>
  </si>
  <si>
    <t>Network with a CIO around the challenges of Business Unit IT Governance.</t>
  </si>
  <si>
    <t>Leverage framework and steps to validate the IT governance design.</t>
  </si>
  <si>
    <t>Enterprise IT Governance, Part 2 — Implementing the Framework</t>
  </si>
  <si>
    <t>https://www.gartner.com/document/3892299</t>
  </si>
  <si>
    <t>How traditional budgeting and governance processes must change to handle the more exploratory and faster cadence of delivery.</t>
  </si>
  <si>
    <t>Effective Governance of Bimodal Portfolios...</t>
  </si>
  <si>
    <t>https://www.gartner.com/document/3861490</t>
  </si>
  <si>
    <t>Review IT Investment Council decisions &amp; implications.</t>
  </si>
  <si>
    <t>Governance</t>
  </si>
  <si>
    <t>Implement governance best practices across the enterprise.</t>
  </si>
  <si>
    <t>The CIO Leadership Role in Enterprise Digital Governance</t>
  </si>
  <si>
    <t>https://www.gartner.com/document/3471541</t>
  </si>
  <si>
    <t>Review latest research.</t>
  </si>
  <si>
    <t>https://www.gartner.com/search/research/simple?typeaheadTermType=&amp;typeaheadTermId=&amp;searchType=2&amp;keywords=governance&amp;binValue=RSKiPSearchFacet==CIO%20Governance,%20Execution,%20Operational%20Performance||10970&amp;sortType=date</t>
  </si>
  <si>
    <t>Introductory call – setting goals and objectives for an application strategy refresh.</t>
  </si>
  <si>
    <t>Perform ITScore assessment to diagnose gaps in the governance processes.</t>
  </si>
  <si>
    <t>Gartner's ITScore for Applications</t>
  </si>
  <si>
    <t>https://www.gartner.com/document/3485217</t>
  </si>
  <si>
    <t>Leverage toolkit to systematically evaluate the portfolios and communicate the fitness as inputs for further discussion.</t>
  </si>
  <si>
    <t>Application Portfolio Business and Technical Fitness Assessment</t>
  </si>
  <si>
    <t>Team Lunch and Learn:</t>
  </si>
  <si>
    <t xml:space="preserve">Building the Digital Platform From the Remnants of Your Application Portfolio </t>
  </si>
  <si>
    <t>https://www.gartnereventsondemand.com/session-video/SYM27/51e</t>
  </si>
  <si>
    <t>Understand basic design structures and engage the stakeholders.</t>
  </si>
  <si>
    <t>Designing the Application Organization</t>
  </si>
  <si>
    <t>https://www.gartner.com/document/3873002</t>
  </si>
  <si>
    <t>(*Optional) Workshop with EP to formulate and refine strong application principles.</t>
  </si>
  <si>
    <t>Toolkit: Workshop to Develop Strong Application Principles</t>
  </si>
  <si>
    <t>https://www.gartner.com/document/3133018</t>
  </si>
  <si>
    <t>On transforming processes to allocate resources to individual products.</t>
  </si>
  <si>
    <t>Transform Application and Project Portfolios Into a Product Portfolio</t>
  </si>
  <si>
    <t>https://www.gartner.com/document/3571057</t>
  </si>
  <si>
    <t>Prioritize the task of assessing your application portfolios. Read research:</t>
  </si>
  <si>
    <t>How to Prioritize Application Inventory and Rationalization</t>
  </si>
  <si>
    <t>https://www.gartner.com/document/3891899</t>
  </si>
  <si>
    <t>Discuss strategy development to build an ecosystem and reshape IT to implement continuous delivery.</t>
  </si>
  <si>
    <t>2018 Strategic Roadmap for Application Strategy</t>
  </si>
  <si>
    <t>https://www.gartner.com/document/3879276?ref=customproposal</t>
  </si>
  <si>
    <t>Review application principals and strategy documents.</t>
  </si>
  <si>
    <t>(*Optional) From APIs to Digital Platforms: API Economy Lessons for Building an Ecosystem.</t>
  </si>
  <si>
    <t>Review next steps research including:</t>
  </si>
  <si>
    <t xml:space="preserve">How to Lead Organizational Change in an Application Organization </t>
  </si>
  <si>
    <t>https://www.gartner.com/document/3626917</t>
  </si>
  <si>
    <t>In Application Rationalization, the Number of Applications Is Irrelevant</t>
  </si>
  <si>
    <t>https://www.gartner.com/document/3872988</t>
  </si>
  <si>
    <t>On how to advance your application strategy with a rationalization program.</t>
  </si>
  <si>
    <t>with an Organization that “Renovated the Core” for Digital Business.</t>
  </si>
  <si>
    <t>Consult on how to lead and enable change.</t>
  </si>
  <si>
    <t>How to Lead Organizational Change in an Application Organization</t>
  </si>
  <si>
    <t>Incorporate continuous modernization in the application strategy.</t>
  </si>
  <si>
    <t>Use Continuous Modernization to Build Digital Platforms From Legacy Applications</t>
  </si>
  <si>
    <t>https://www.gartner.com/document/3846764</t>
  </si>
  <si>
    <t>Repeat ITScore and benchmark against prior year.</t>
  </si>
  <si>
    <t>Leverage IT Score for BCM to establish a baseline assessment.</t>
  </si>
  <si>
    <t>Review of IT Score Results. Discuss Business Impact Analysis best practices.</t>
  </si>
  <si>
    <t>Register a team member to Gartner’s Risk &amp; Security Summit –  BCM track.</t>
  </si>
  <si>
    <t>Working session to plan a business impact analysis approach.</t>
  </si>
  <si>
    <t>Lunch and Learn using Security summit replay:</t>
  </si>
  <si>
    <t>State of BCM for Business Resilience, 2017</t>
  </si>
  <si>
    <t>https://www.gartnereventsondemand.com/session-video/SEC18I/C7</t>
  </si>
  <si>
    <t>Best practices for running a tabletop exercise.</t>
  </si>
  <si>
    <t>http://www.gartner.com/document/3830146?ref=customproposal</t>
  </si>
  <si>
    <t>Align with the Cybersecurity team on response and recovery processes.</t>
  </si>
  <si>
    <t>Prepare for and Respond to a Business Disruption After a Cyberattack</t>
  </si>
  <si>
    <t>https://www.gartner.com/document/3273117?ref=customproposal</t>
  </si>
  <si>
    <t>Participate in BCM forums.</t>
  </si>
  <si>
    <t>Business Continuity Management</t>
  </si>
  <si>
    <t>https://www.gartner.com/search/peerconv/simple?typeaheadTermType=&amp;typeaheadTermId=&amp;searchType=151&amp;keywords=BCM&amp;qid=1b9c9e35d5368554fb0088fd1f5a4d9c</t>
  </si>
  <si>
    <t>Lunch and learn webinar. with supporting research.</t>
  </si>
  <si>
    <t>Watch: Determine the Right Approach to Public Cloud-based Disaster Recovery</t>
  </si>
  <si>
    <t>https://www.gartner.com/webinar/3786764</t>
  </si>
  <si>
    <t>Network with a CIO who has had been through a significant BCM event..</t>
  </si>
  <si>
    <t>Next generation technologies for BCM.</t>
  </si>
  <si>
    <t>Hype Cycle for Business Continuity Management and IT Resilience</t>
  </si>
  <si>
    <t>https://www.gartner.com/document/3776566</t>
  </si>
  <si>
    <t>Rerun the ITScore,. assess progress and prioritize next steps.</t>
  </si>
  <si>
    <t>Discuss the vision and goals for future state infrastructure model. Plan next steps.</t>
  </si>
  <si>
    <t xml:space="preserve">Review current Data Center set-up. Envisage the end state infrastructure that will deliver on future goals and business ambition. </t>
  </si>
  <si>
    <t>ITScore for I&amp;O</t>
  </si>
  <si>
    <t>https://www.gartner.com/document/3773964</t>
  </si>
  <si>
    <t>Gartner insights - migrating away from on-premises data centers.</t>
  </si>
  <si>
    <t xml:space="preserve">Lunch &amp; learn: Evolving towards Hybrid models.
</t>
  </si>
  <si>
    <t>Hybrid Cloud Architectures</t>
  </si>
  <si>
    <t>https://www.gartner.com/webinar/3816874</t>
  </si>
  <si>
    <t>Consult your Executive Partner in the preparation and planning phase of Data Center migration. Leverage research to address commonly overlooked areas.</t>
  </si>
  <si>
    <t>Deliver Migrations on Budget by Securing the Right Project Resources</t>
  </si>
  <si>
    <t>https://www.gartner.com/document/3833972</t>
  </si>
  <si>
    <t>Review Data Center migration plan with an analyst to lower the risk of budget overruns,</t>
  </si>
  <si>
    <t>Deliver Data Center Migrations on Budget by Securing the Right Project Resources</t>
  </si>
  <si>
    <t>https://www.gartner.com/document/3833972?ref=customproposal</t>
  </si>
  <si>
    <t>Network with a CIO who has recently orchestrated a Data Center migration. Discuss challenges during migration and how they were overcome.</t>
  </si>
  <si>
    <t>Peer Insights.</t>
  </si>
  <si>
    <t>Reviews for Data Center Outsourcing and Infrastructure Utility Services, North America</t>
  </si>
  <si>
    <t>https://www.gartner.com/reviews/market/data-center-outsourcing-and-infrastructure-utility-services-north-america?refval=iMQ-3747717&amp;content=3747717&amp;campaign=D2D-MagicQuadrant</t>
  </si>
  <si>
    <t>Call with an analyst to support Roadmap implementation – platform architecture, technology options, integration, security etc.</t>
  </si>
  <si>
    <t>Network with a CIO who has recently undergone a data center migration.</t>
  </si>
  <si>
    <t xml:space="preserve">Review peer content. </t>
  </si>
  <si>
    <t>Data Center Migration</t>
  </si>
  <si>
    <t>https://www.gartner.com/search/peerconv/simple?typeaheadTermType=&amp;typeaheadTermId=&amp;searchType=151&amp;keywords=data%20center%20migration&amp;qid=353db7ed71d2a373bf1db6b291e9e52d</t>
  </si>
  <si>
    <t xml:space="preserve">Discuss the impact of a Hybrid model infrastructure on resilience and plan steps to increase enterprise resilience post-migration. </t>
  </si>
  <si>
    <t>Will Hybrid Cloud Infrastructure Offerings Improve or Impair Enterprise Resilience?</t>
  </si>
  <si>
    <t>https://www.gartner.com/document/3874064</t>
  </si>
  <si>
    <t xml:space="preserve">Assess Data Center Migration results to date. Identify areas for future Gartner analyst support.
</t>
  </si>
  <si>
    <t>Peer content.</t>
  </si>
  <si>
    <t>Create a data center scorecard.</t>
  </si>
  <si>
    <t>10 Practical and Easy-to-Use Performance Metrics to Improve Your Data Center Efficiency</t>
  </si>
  <si>
    <t>https://www.gartner.com/document/3848887</t>
  </si>
  <si>
    <t>Assess Data Center Migration results to date. Identify areas for future Gartner analyst support.</t>
  </si>
  <si>
    <t>Review future perspective on transition towards a 'Digital' infrastructure model.</t>
  </si>
  <si>
    <t>The Data Center Is Dead, and Digital Infrastructures Emerge</t>
  </si>
  <si>
    <t>https://www.gartner.com/document/3871516</t>
  </si>
  <si>
    <t>Leverage Gartner.com to start up to date with infrastructure delivery trends.</t>
  </si>
  <si>
    <t>https://www.gartner.com/explore/initiatives/overview/10902</t>
  </si>
  <si>
    <t>Maverick* Research: The Edge Will Eat the Cloud</t>
  </si>
  <si>
    <t>https://www.gartner.com/document/3806165</t>
  </si>
  <si>
    <t>Top trends for Data Center Infratructure.</t>
  </si>
  <si>
    <t xml:space="preserve">Prepare for an informal assessment using: </t>
  </si>
  <si>
    <t xml:space="preserve">Integration Maturity Model to Assess and Improve Your Integration Competency </t>
  </si>
  <si>
    <t>https://www.gartner.com/document/code/311552</t>
  </si>
  <si>
    <t>Review foundational research. Read first:</t>
  </si>
  <si>
    <t xml:space="preserve">Three Steps to Building a Capability-Led Integration Strategy </t>
  </si>
  <si>
    <t>https://www.gartner.com/document/3813463</t>
  </si>
  <si>
    <t>Engage with analysts to review assessment results and  discuss roadmap steps for platform renovation.</t>
  </si>
  <si>
    <t>How to Implement a Hybrid Integration Platform That Is Truly 'Hybrid'</t>
  </si>
  <si>
    <t>Discuss opportunities to modernize tools.</t>
  </si>
  <si>
    <t>Market Guide for Application Integration Platforms</t>
  </si>
  <si>
    <t>https://www.gartner.com/document/3880132?ref=customproposal</t>
  </si>
  <si>
    <t>Considerations for point to point integration.</t>
  </si>
  <si>
    <t>Where Does Point-to-Point Integration Belong in Your Integration Strategy?</t>
  </si>
  <si>
    <t>https://www.gartner.com/document/3849066</t>
  </si>
  <si>
    <t>Bimodal in the context of Integration Strategy</t>
  </si>
  <si>
    <t>The Integrator's Dilemma: Can a Bimodal Approach Balance Integration Agility and Control?</t>
  </si>
  <si>
    <t>https://www.gartner.com/document/3754763</t>
  </si>
  <si>
    <t>Network with a CIO for best practices in building and modernizing integration strategies.</t>
  </si>
  <si>
    <t>Register a Team Member for the Gartner Application Strategy Summit – build an agenda around Integration Strategy. Arrange 1-on-1s.</t>
  </si>
  <si>
    <t>Cloud and SaaS integration.</t>
  </si>
  <si>
    <t>Selecting the Most Suitable Platform for Cloud Service Integration</t>
  </si>
  <si>
    <t>https://www.gartner.com/document/3488317</t>
  </si>
  <si>
    <t>Redo maturity assessment.</t>
  </si>
  <si>
    <t>Enhancing integration platforms with machine-learning capabilities.</t>
  </si>
  <si>
    <t>Reimagine How to Simplify Integration Using Artificial Intelligence</t>
  </si>
  <si>
    <t>https://www.gartner.com/document/3801663</t>
  </si>
  <si>
    <t xml:space="preserve">Perform ITScore assessment. Discuss current state, future state vision &amp; identify gaps. </t>
  </si>
  <si>
    <t>ITScore for PPM</t>
  </si>
  <si>
    <t>https://www.gartner.com/document/3871979?ref=customproposal</t>
  </si>
  <si>
    <t>Read research on leadership expectations to create a value-add perception of the PMO.</t>
  </si>
  <si>
    <t>The PMO Leader's First 100 Days</t>
  </si>
  <si>
    <t>https://www.gartner.com/document/code/342206</t>
  </si>
  <si>
    <t>Review ITScore results. Agree on immediate actions for evolving portfolio and resource management practices.</t>
  </si>
  <si>
    <t>On techniques to reach advanced PPM maturity.</t>
  </si>
  <si>
    <t>Supercharge Your Resource Management to Support Advanced PPM Maturity</t>
  </si>
  <si>
    <t>https://www.gartner.com/document/3879496?ref=customproposal</t>
  </si>
  <si>
    <t>Generate insights into the maturity and viability of various capabilities to transform PPM delivery.</t>
  </si>
  <si>
    <t>Hype Cycle for PPM, 2018</t>
  </si>
  <si>
    <t>https://www.gartner.com/document/3882878?ref=customproposal</t>
  </si>
  <si>
    <t>Moving from projects to products.</t>
  </si>
  <si>
    <t>Leverage Gartner Maturity model to plan with regard to resource capacity planning.</t>
  </si>
  <si>
    <t>Resource Capacity Planning for PPM Leaders: Crawl Before You Walk</t>
  </si>
  <si>
    <t>https://www.gartner.com/document/3861363</t>
  </si>
  <si>
    <t>Discuss potential improvement to the resource capacity planning process.</t>
  </si>
  <si>
    <t>Toolkit: Framework to Score, Evaluate and Prioritize Projects Easily</t>
  </si>
  <si>
    <t>https://www.gartner.com/document/3823188</t>
  </si>
  <si>
    <t>Focus on resource capacity planning.</t>
  </si>
  <si>
    <t>Resource Capacity Planning - Crawl Before You Walk</t>
  </si>
  <si>
    <t>Consult on team management strategies to deliver maximum business value.</t>
  </si>
  <si>
    <t>Resource Management for Portfolio Management</t>
  </si>
  <si>
    <t>https://www.gartner.com/document/3818368?ref=customproposal</t>
  </si>
  <si>
    <t>Bimodal considerations for portfolio management.</t>
  </si>
  <si>
    <t>Effective Governance of Bimodal Portfolios Requires an Outcome-Centered Approach</t>
  </si>
  <si>
    <t>Connect with peers working on shared service portfolio management.</t>
  </si>
  <si>
    <t>Find peers</t>
  </si>
  <si>
    <t>https://community.gartner.com/t5/Program-and-Portfolio-Management/Shared-Services-Portfolio-Management-amp-Prioritization/m-p/71650</t>
  </si>
  <si>
    <t>Follow Gartner’s three steps to adaptive governance to balance and enable decisions, as well as prioritize value and delivery outcomes.</t>
  </si>
  <si>
    <t>Use Adaptive Governance Styles for Portfolio Management</t>
  </si>
  <si>
    <t>https://www.gartner.com/document/3889056?ref=customproposal</t>
  </si>
  <si>
    <t>Review best practices for designing an effective portfolio dashboard.</t>
  </si>
  <si>
    <t>Ensure Your Portfolio Dashboards Focus on Change, Actions and Decisions</t>
  </si>
  <si>
    <t>https://www.gartner.com/document/3817017</t>
  </si>
  <si>
    <t>Track progress. Identify research interests and analyst calls for the next 90 days.</t>
  </si>
  <si>
    <t>Review recently published research:</t>
  </si>
  <si>
    <t>https://www.gartner.com/search/research/simple?searchType=2&amp;binValue=RSKiPSearchFacet==Evolving%20Portfolio%20and%20Resource%20Management||10394&amp;sortType=date</t>
  </si>
  <si>
    <t>Re-run the ITScore. Review progress.</t>
  </si>
  <si>
    <t xml:space="preserve">Walk through Gartner's ITScore assessment tool to identify the current state of Vendor Management maturity. </t>
  </si>
  <si>
    <t>Toolkit: M-A-T-U-R-E Methodology</t>
  </si>
  <si>
    <t>https://www.gartner.com/document/3778868</t>
  </si>
  <si>
    <t xml:space="preserve">Developing a vendor management mission and charter including governance policies and procedures.  </t>
  </si>
  <si>
    <t>Establish a Mission and Charter</t>
  </si>
  <si>
    <t>https://www.gartner.com/document/code/349463</t>
  </si>
  <si>
    <t>Create a realistic plan for what needs to be accomplished, by whom and when, based on the assessment results.</t>
  </si>
  <si>
    <t>Three Steps to Extract More Value From Your Most Strategic Vendor Relationships</t>
  </si>
  <si>
    <t>https://www.gartner.com/document/3876564?ref=customproposal</t>
  </si>
  <si>
    <t>Discuss segmentation of vendors as an initial step towards improving the vendor management capability.</t>
  </si>
  <si>
    <t>Segmentation of Technology Vendors...</t>
  </si>
  <si>
    <t>https://www.gartner.com/document/code/340461</t>
  </si>
  <si>
    <t>Learn about major trends &amp; challenges affecting vendor management leaders &amp; best practices for delivering the highest value.</t>
  </si>
  <si>
    <t>Webinar: Leadership Vision for 2018</t>
  </si>
  <si>
    <t>https://www.gartner.com/webinar/3780365?</t>
  </si>
  <si>
    <t>Discussion around how to educate and influence key stakeholders to adopt critical vendor management policies and processes.</t>
  </si>
  <si>
    <t>Vendor Management Marketing..</t>
  </si>
  <si>
    <t>https://www.gartner.com/document/3847470</t>
  </si>
  <si>
    <t>Review ITScore results. Discuss segmentation of vendors as an initial step.</t>
  </si>
  <si>
    <t>Segmentation of Technology Vendors Is the Foundation for Effective Vendor Management</t>
  </si>
  <si>
    <t>Establishing a vendor scorecard to drive continuous improvement.</t>
  </si>
  <si>
    <t>Leverage Disciplined Vendor Scorecard Design, Delivery and Analysis...</t>
  </si>
  <si>
    <t>https://www.gartner.com/document/3815171</t>
  </si>
  <si>
    <t>Network with a fellow CIO who has a mature vendor management capability.</t>
  </si>
  <si>
    <t>Bimodal Sourcing &amp; Vendor Management: Explore ways to increase speed &amp; agility to satisfy stakeholders that now require a greater sense of urgency.</t>
  </si>
  <si>
    <t>Review current capabilities.</t>
  </si>
  <si>
    <t>Adopt Gartner's IT Vendor Management Competency Model to Improve Capability and Accelerate Performance</t>
  </si>
  <si>
    <t>https://www.gartner.com/document/3814463</t>
  </si>
  <si>
    <t>Challenges facing IT Sourcing and Vendor Management leaders.</t>
  </si>
  <si>
    <t>Review article on Smarter with Gartner</t>
  </si>
  <si>
    <t>https://www.gartner.com/smarterwithgartner/4-challenges-facing-it-sourcing-and-vendor-management-leaders/</t>
  </si>
  <si>
    <t>Peer network with a fellow CIO who has a mature vendor management capability.</t>
  </si>
  <si>
    <t>Discuss the impact of bimodal innovation and evaluate the chance of success. Read first:</t>
  </si>
  <si>
    <t>Checklist and Guide to the Impact of Bimodal on Sourcing, Procurement and Vendor Management</t>
  </si>
  <si>
    <t>https://www.gartner.com/document/3798782</t>
  </si>
  <si>
    <t>Re-run the ITScore assessment. Identify opportunities and draft a plan for next steps.</t>
  </si>
  <si>
    <t>Read latest research:</t>
  </si>
  <si>
    <t>Vendor Management</t>
  </si>
  <si>
    <t>https://www.gartner.com/search/research/simple?typeaheadTermType=&amp;typeaheadTermId=&amp;searchType=2&amp;keywords=Vendor%20Management&amp;qid=bf961319adbe9d5a4780b9914246f1a0</t>
  </si>
  <si>
    <t>Predicts 2018: Technology Vendor Management Must Adapt to New Delivery Models and Business Demands</t>
  </si>
  <si>
    <t>Discuss digital ambition of the enterprise. Is the aim to optimize and/or introduce new business models? Develop roadmap accordingly.</t>
  </si>
  <si>
    <t>Digital Ambition:Transform or Optimize</t>
  </si>
  <si>
    <t>https://www.gartner.com/document/3753470</t>
  </si>
  <si>
    <t xml:space="preserve">Review foundational research on Digital Business Transformation. Read first: </t>
  </si>
  <si>
    <t>A CIO's Guide to Gartner's Digital Business Research</t>
  </si>
  <si>
    <t>Complete the Digital Urgency Assessment, review results. Identify next steps.</t>
  </si>
  <si>
    <t>Digital Urgency Assessment</t>
  </si>
  <si>
    <t>http://surveys.gartner.com/s/DigitalUrgencyAssessmentTool</t>
  </si>
  <si>
    <t>Review research on potential starting points for digital journey.</t>
  </si>
  <si>
    <t>4 Starting Points for Transformation</t>
  </si>
  <si>
    <t>https://www.gartner.com/document/3879263</t>
  </si>
  <si>
    <t xml:space="preserve">Align stakeholders around a shared digital vision. 
</t>
  </si>
  <si>
    <t>Propose a Digital Ambition Workshop to Jump-Start Your Digital Journey</t>
  </si>
  <si>
    <t>https://www.gartner.com/document/3862764</t>
  </si>
  <si>
    <t>EP Led Workshop The digital transformation journey.</t>
  </si>
  <si>
    <t>Toolkit: Examples of Digital Business Optimization</t>
  </si>
  <si>
    <t>https://www.gartner.com/document/3812175</t>
  </si>
  <si>
    <t>Review digital strategy and plan. Discuss best practices for success in implementation and execution phase of digital strategy.</t>
  </si>
  <si>
    <t>Review research on how to evolve mindsets and cultivate high digital acuity leadership to stay relevant in the digital era.</t>
  </si>
  <si>
    <t>Review research on how to take digital to the core of business irrespective of the industry you operate in.</t>
  </si>
  <si>
    <t>Use This Framework to Take Digital to the Core of Your Business</t>
  </si>
  <si>
    <t>https://www.gartner.com/document/3239317</t>
  </si>
  <si>
    <t>Discuss how the organizational structure must evolve and change for a digital future. Review different type of structures and pros and cons of each.</t>
  </si>
  <si>
    <t>Review communication strategy on digital and leverage 15 board-ready presentations for upcoming meetings.</t>
  </si>
  <si>
    <t>EXP Report: What the Board Needs to Know About Digital Business</t>
  </si>
  <si>
    <t>https://www.gartner.com/explore/exp-reports/research/3882004</t>
  </si>
  <si>
    <t xml:space="preserve">Digital Business Fundamentals: Adopting bimodal across the enterprise to enable digital business initiatives.
</t>
  </si>
  <si>
    <t>Beginning Bimodal: Lighting the Mode 2 Candle in a Mode 1 World</t>
  </si>
  <si>
    <t>https://www.gartner.com/document/3836765</t>
  </si>
  <si>
    <t>(*Optional) Session on major milestones in a digital business journey, understand where you are and determine the next steps in the journey.</t>
  </si>
  <si>
    <t>Peer Network with one of our mature digitally enabled members.</t>
  </si>
  <si>
    <t>Research on enabling the new capabilities and business models.</t>
  </si>
  <si>
    <t>Building a Digital Business Technology Platform</t>
  </si>
  <si>
    <t>https://www.gartner.com/document/code/297286</t>
  </si>
  <si>
    <t xml:space="preserve">Review latest digital technologies being used to create new business models, services and experiences. Discuss how and where these can be adopted.
</t>
  </si>
  <si>
    <t>2018 Hype Cycles: Riding the Innovation Wave</t>
  </si>
  <si>
    <t>https://www.gartner.com/document/3886564</t>
  </si>
  <si>
    <t xml:space="preserve">Review research to identify behaviors and practices that pose potential barriers to digital adoption.
</t>
  </si>
  <si>
    <t>Six Barriers to Becoming a Digital Business, and What You Can Do About Them</t>
  </si>
  <si>
    <t>https://www.gartner.com/document/3879770</t>
  </si>
  <si>
    <t>Read about the platforms required to enable new capabilities and business models of digital business.</t>
  </si>
  <si>
    <t>Develop metrics and set goals that layout digital business journey and sharpen expected business outcomes.</t>
  </si>
  <si>
    <t>Leverage 2019 CIO Survey Peer Report as input to a digital strategy refresh.</t>
  </si>
  <si>
    <t>Discuss challenges with transformation activities – e.g. lack of stakeholder engagement, conflicting priorities, and funding etc.</t>
  </si>
  <si>
    <t>Annual ITScore for strategy and execution.</t>
  </si>
  <si>
    <t xml:space="preserve">Discuss digital progress and goals for scaling. Identify and prioritize areas that need adjustment to facilitate scaling. 
</t>
  </si>
  <si>
    <t>How to Design Digital Business Transformation</t>
  </si>
  <si>
    <t>https://www.gartner.com/document/3877465</t>
  </si>
  <si>
    <t>Discuss goals for scaling. Identify areas that need adjustment to facilitate scaling.</t>
  </si>
  <si>
    <t xml:space="preserve">Re-design the “I&amp;T” operating model, to support agility, speed and innovation for digital. 
</t>
  </si>
  <si>
    <t>Redesign the IT Operating Model to Accelerate Digital Business</t>
  </si>
  <si>
    <t xml:space="preserve">Review foundational research on Digital Business Transformation. Read first:  </t>
  </si>
  <si>
    <t>Design an “I&amp;T” operating model, which will support digital business with agility, speed and innovation</t>
  </si>
  <si>
    <t xml:space="preserve">Lunch and Learn using Symposium Keynote replay. </t>
  </si>
  <si>
    <t>Gartner Analyst Opening Keynote: Creating Digital Value at Scale</t>
  </si>
  <si>
    <t>Lunch and Learn using Symposium Keynote replay.</t>
  </si>
  <si>
    <t>https://www.gartnereventsondemand.com/session-video/SYM27/K1</t>
  </si>
  <si>
    <t xml:space="preserve">Review CIO perspectives on digital business. 
</t>
  </si>
  <si>
    <t>Invest in Technologies That Enhance Digital Trust to Boost Digital Value</t>
  </si>
  <si>
    <t>https://www.gartner.com/document/code/333150</t>
  </si>
  <si>
    <t>Discussion on the funding status of digital business initiatives.</t>
  </si>
  <si>
    <t>Three Ways to Find Funds to Scale Digital Business</t>
  </si>
  <si>
    <t>https://www.gartner.com/document/code/348299</t>
  </si>
  <si>
    <t xml:space="preserve">Review the funding status of digital business initiatives and help build business case. </t>
  </si>
  <si>
    <t>A technology strategy for scaling digital business.</t>
  </si>
  <si>
    <t>A Digital Business Technology Platform Is Fundamental to Scaling Digital Business</t>
  </si>
  <si>
    <t>https://www.gartner.com/document/3810972</t>
  </si>
  <si>
    <t>Review digital landscape and identify shifts and investments needed to scale digital.</t>
  </si>
  <si>
    <t xml:space="preserve">Review disruptive technologies that will enhance trust to help scale digital. 
</t>
  </si>
  <si>
    <t>Review research on additional technology considerations. Read first:</t>
  </si>
  <si>
    <t>Invest in Technologies That Enhance Digital Trust to Boost Digital Value at Scale</t>
  </si>
  <si>
    <t xml:space="preserve">(*optional) Practices required to scale bimodal to the enterprise in order to achieve enterprise agility, continuous innovation and scale. 
</t>
  </si>
  <si>
    <t>Scaling Bimodal — The Key Principles and Practices for Digital Success</t>
  </si>
  <si>
    <t>https://www.gartnereventsondemand.com/session-video/SYM27/52e</t>
  </si>
  <si>
    <t>Building Digital Dexterity</t>
  </si>
  <si>
    <t>Building Digital Dexterity Across the Enterprise: Succeeding in the Skills Migration Plan</t>
  </si>
  <si>
    <t>https://www.gartner.com/document/code/352717</t>
  </si>
  <si>
    <t>Practices required both by the business and IT  to scale bimodal to the enterprise in order to achieve enterprise agility and continuous innovation.</t>
  </si>
  <si>
    <t xml:space="preserve">Review communication strategy on digital and leverage 15 board-ready presentations. </t>
  </si>
  <si>
    <t xml:space="preserve">Talent management to scale digital. 
</t>
  </si>
  <si>
    <t>Reimagine Apprenticeships to Develop Talent to Scale Digital Business</t>
  </si>
  <si>
    <t>https://www.gartner.com/document/3864363</t>
  </si>
  <si>
    <t>Develop metrics and set goals that lay out the digital business journey and sharpen expected business outcomes.</t>
  </si>
  <si>
    <t>https://www.gartner.com/document/code/341667</t>
  </si>
  <si>
    <t>Explore networking opportunities on  peer connect.</t>
  </si>
  <si>
    <t>Digital Business Discussions</t>
  </si>
  <si>
    <t>https://www.gartner.com/search/peerconv/simple?typeaheadTermType=&amp;typeaheadTermId=&amp;searchType=151&amp;keywords=digital%20business&amp;qid=a42fda7d7d36877b9e75fa0479de7376&amp;binValue=CONTENT_TYPE_BIN==Discussions</t>
  </si>
  <si>
    <t xml:space="preserve">Review latest digital technologies being used to scale business models, services and experiences. 
</t>
  </si>
  <si>
    <t>2018 Hype Cycles: Riding the Innovation Wave, A Gartner Trend Insight Report</t>
  </si>
  <si>
    <t xml:space="preserve">Discuss how APIs can help expand and scale the digital ecosystem.
</t>
  </si>
  <si>
    <t>Top 10 Things CIOs Need to Know About APIs and the API Economy</t>
  </si>
  <si>
    <t>https://www.gartner.com/document/code/318859</t>
  </si>
  <si>
    <t>Expanding the ecosystem.</t>
  </si>
  <si>
    <t xml:space="preserve">Review latest Smarter with Gartner articles.
</t>
  </si>
  <si>
    <t>Digital Business Articles</t>
  </si>
  <si>
    <t>https://blogs.gartner.com/smarterwithgartner?s=digital+business</t>
  </si>
  <si>
    <t>Review latest Smarter with Gartner articles.</t>
  </si>
  <si>
    <t xml:space="preserve">Review progress on digital and plan ahead.
</t>
  </si>
  <si>
    <t>Discuss digital ambition and evaluate the level of digital readiness for transformation.</t>
  </si>
  <si>
    <t>Read research on how to balance risk and innovation.</t>
  </si>
  <si>
    <t>2019 CIO Agenda: Government Insight</t>
  </si>
  <si>
    <t>Review digital urgency results and discuss strategies for getting started.</t>
  </si>
  <si>
    <t>Workshop to enable effective strategic planning on the selected initial projects for digital.</t>
  </si>
  <si>
    <t>Toolkit: Use Scenario Planning to Spark Digital Government Transformation</t>
  </si>
  <si>
    <t>https://www.gartner.com/document/3850480</t>
  </si>
  <si>
    <t>Review use cases.</t>
  </si>
  <si>
    <t>Leverage Platform Business Models to Spark Your Transition...</t>
  </si>
  <si>
    <t>https://www.gartner.com/document/3889030?ref=customproposal</t>
  </si>
  <si>
    <t>The Future of Digital Government- Platforms and Ecosystems: session on partner ecosystem dynamics that influence citizen service delivery.</t>
  </si>
  <si>
    <t>Top technology trends and opportunities.</t>
  </si>
  <si>
    <t>Hype Cycle for Digital Government...</t>
  </si>
  <si>
    <t>https://www.gartner.com/document/3884179</t>
  </si>
  <si>
    <t>Identify and prioritize opportunities for enterprise-wide investments. Read first:</t>
  </si>
  <si>
    <t>2018 Strategic Roadmap for Digital Government CX Programs</t>
  </si>
  <si>
    <t>https://www.gartner.com/document/3869668?ref=customproposal</t>
  </si>
  <si>
    <t>Network with a fellow CIO who is at the next level of maturity of digital transformation.</t>
  </si>
  <si>
    <t>Opportunities for leveraging Smart City technologies.</t>
  </si>
  <si>
    <t>Hype Cycle for Smart City Technologies and Solutions, 2018</t>
  </si>
  <si>
    <t>https://www.gartner.com/document/code/340460</t>
  </si>
  <si>
    <t>Review use of ecosystem maps and modeling to identify metrics indicating "health" of the ecosystem.</t>
  </si>
  <si>
    <t>Mapping, Modeling and Monitoring Digital Government Ecosystems</t>
  </si>
  <si>
    <t>https://www.gartner.com/document/3862766?ref=customproposal</t>
  </si>
  <si>
    <t>Review peer conversations</t>
  </si>
  <si>
    <t>Digital Government</t>
  </si>
  <si>
    <t>https://www.gartner.com/search/peerconv/simple?typeaheadTermType=&amp;typeaheadTermId=&amp;searchType=151&amp;keywords=digital%20government&amp;qid=9e09ee02e7aea3fcefecc2f6c0f917c5</t>
  </si>
  <si>
    <t>Track progress and explore building cross-government alliances and engaging the executive leadership to scale the impact of digital.</t>
  </si>
  <si>
    <t>CIOs Can Transform Government Services by Scaling Digital Up, Across and Out</t>
  </si>
  <si>
    <t>https://www.gartner.com/document/3855363</t>
  </si>
  <si>
    <t>Review framework for planning the next set of strategic investments.</t>
  </si>
  <si>
    <t>How the Operating Model for Government in 2030 Drives Actions Today</t>
  </si>
  <si>
    <t>https://www.gartner.com/document/3850675</t>
  </si>
  <si>
    <t>Read foundational research. Read first.</t>
  </si>
  <si>
    <t>Demystifying Digital Business for Oil and Gas Leaders</t>
  </si>
  <si>
    <t>https://www.gartner.com/document/3872127</t>
  </si>
  <si>
    <t>Discussion on digital business ambition.</t>
  </si>
  <si>
    <t>Initial discussion. Discuss strategy and prioritization.</t>
  </si>
  <si>
    <t>Three Moments of Digital Disruption That Will Impact Every Oil and Gas Company</t>
  </si>
  <si>
    <t>https://www.gartner.com/document/code/303721</t>
  </si>
  <si>
    <t>Lunch and learn using Symposium replay</t>
  </si>
  <si>
    <t>CIO Role in Leading Digital Business Transformation in Oil and Gas</t>
  </si>
  <si>
    <t>https://www.gartnereventsondemand.com/session-video/SYM27/11h</t>
  </si>
  <si>
    <t>Top technology trends and opportunities for digitalization in oil and gas.</t>
  </si>
  <si>
    <t>Hype Cycle for Oil and Gas, 2018</t>
  </si>
  <si>
    <t>https://www.gartner.com/document/3884519</t>
  </si>
  <si>
    <t>Network with a CIO who is at the next level of maturity in digital transformation</t>
  </si>
  <si>
    <t>The use of AI in digital transformation.</t>
  </si>
  <si>
    <t>AI and the Future of Work in Oil and Gas</t>
  </si>
  <si>
    <t>https://www.gartner.com/document/3869463</t>
  </si>
  <si>
    <t>Review progress. Revisit strategic priorities.for digital</t>
  </si>
  <si>
    <t>Immersive Digital: The Future of Operations in Oil and Gas</t>
  </si>
  <si>
    <t>https://www.gartner.com/document/3805966</t>
  </si>
  <si>
    <t>Review predicts research.</t>
  </si>
  <si>
    <t>Predicts 2018: Oil and Gas CIOs Strengthen Transformational Leadership to Scale Digital Innovation</t>
  </si>
  <si>
    <t>https://www.gartner.com/document/3834963</t>
  </si>
  <si>
    <t>Gartner's ITBudget Tool with IT service costing.</t>
  </si>
  <si>
    <t>ITBudget</t>
  </si>
  <si>
    <t>Read foundational research. Read first:</t>
  </si>
  <si>
    <t>Three-Year Roadmap for IT Financial Management Maturity</t>
  </si>
  <si>
    <t>https://www.gartner.com/document/3823196</t>
  </si>
  <si>
    <t>Key Concepts in IT Financial Management: Budgeting, Funding, Transparency and Allocation</t>
  </si>
  <si>
    <t>https://www.gartner.com/document/3808963</t>
  </si>
  <si>
    <t>Review ITBudget Results.</t>
  </si>
  <si>
    <t>Research on framework and tactics to communicate strategic planning that resonates with business stakeholders.</t>
  </si>
  <si>
    <t>Toolkit: Information Security Strategy on a Page — Deconstructed</t>
  </si>
  <si>
    <t>https://www.gartner.com/document/3892398</t>
  </si>
  <si>
    <t>Lunch and learn.</t>
  </si>
  <si>
    <t>Driving Cost Optimization Results: Methods, Frameworks and Transparency</t>
  </si>
  <si>
    <t>https://www.gartner.com/webinar/3675620</t>
  </si>
  <si>
    <t>Prioritizing IT Financial management actions.</t>
  </si>
  <si>
    <t>Toolkit: IT Financial Management Capabilities Assessment</t>
  </si>
  <si>
    <t>https://www.gartner.com/document/3357423</t>
  </si>
  <si>
    <t>On speaking the languages of “finance” and “business outcomes” to effectively communicate the business value of IT.</t>
  </si>
  <si>
    <t>The Multilingual CIO — 3 Languages for Success</t>
  </si>
  <si>
    <t>https://www.gartner.com/document/3889967</t>
  </si>
  <si>
    <t>Updating tools for financial management.</t>
  </si>
  <si>
    <t>Five Success Factors for IT Financial Management Tool Initiatives</t>
  </si>
  <si>
    <t>https://www.gartner.com/document/3742317</t>
  </si>
  <si>
    <t>Read the EXP report.</t>
  </si>
  <si>
    <t>21st Century IT Budgeting: Distributing Responsibility for IT Spending</t>
  </si>
  <si>
    <t>https://www.gartner.com/document/3796363</t>
  </si>
  <si>
    <t>Network with a CIO who has implemented full financial transparency.</t>
  </si>
  <si>
    <t>Consider options for categorizing digital business revenues.</t>
  </si>
  <si>
    <t>2018 CEO Survey: CIOs Should Work With CFOs to Craft a Digital P&amp;L</t>
  </si>
  <si>
    <t>https://www.gartner.com/document/3871391</t>
  </si>
  <si>
    <t>Review progress. Plan next steps.</t>
  </si>
  <si>
    <t>Run IT as a Business Using Six Pillars of IT Financial Transparency to Drive Value</t>
  </si>
  <si>
    <t>https://www.gartner.com/document/code/301363</t>
  </si>
  <si>
    <t>Discuss I&amp;O ITScore as a input into DevOps planning and prioritization.</t>
  </si>
  <si>
    <t>Read foundational research: Read first:</t>
  </si>
  <si>
    <t>The First Step in Delivering an Agile I&amp;O Culture Is Knowing Your Target State</t>
  </si>
  <si>
    <t>https://www.gartner.com/document/3849265</t>
  </si>
  <si>
    <t>Kicking off a DevOps initiative.</t>
  </si>
  <si>
    <t>DevOps — Eight Steps to Get It Right</t>
  </si>
  <si>
    <t>https://www.gartner.com/document/code/337418</t>
  </si>
  <si>
    <t>Lunch and learn webinar.</t>
  </si>
  <si>
    <t>Starting DevOps and Enhancing Your Business</t>
  </si>
  <si>
    <t>https://www.gartner.com/webinar/3816885</t>
  </si>
  <si>
    <t>Principles and Practices of DevOps That I&amp;O Leaders Need to Cultivate.</t>
  </si>
  <si>
    <t>Connect with peer who has advanced on DevOps journey.</t>
  </si>
  <si>
    <t>Devops</t>
  </si>
  <si>
    <t>https://www.gartner.com/search/peerconv/simple?typeaheadTermType=&amp;typeaheadTermId=&amp;searchType=151&amp;keywords=devops&amp;qid=c009d7694eebf9d6e35e68b47ee0af7e</t>
  </si>
  <si>
    <t>Discuss experience-based knowledge to address challenges and fill knowledge and execution gaps.</t>
  </si>
  <si>
    <t>How to Navigate Your DevOps Journey</t>
  </si>
  <si>
    <t>https://www.gartner.com/document/3891969?ref=customproposal</t>
  </si>
  <si>
    <t>Best practices for Devops toolchains</t>
  </si>
  <si>
    <t>Avoid Failure by Developing a Toolchain That Enables DevOps</t>
  </si>
  <si>
    <t>https://www.gartner.com/document/3810934</t>
  </si>
  <si>
    <t>Review opportunities for leveraging new technologies.</t>
  </si>
  <si>
    <t>Cool Vendors in DevOps, First Wave, 2018</t>
  </si>
  <si>
    <t>https://www.gartner.com/document/3872274</t>
  </si>
  <si>
    <t>Identifying the right time to scale DevOps.</t>
  </si>
  <si>
    <t>How to Successfully Scale Enterprise DevOps Initiatives</t>
  </si>
  <si>
    <t>https://www.gartner.com/document/3558317</t>
  </si>
  <si>
    <t>Metrics for Devops.</t>
  </si>
  <si>
    <t>Data-Driven DevOps: Use Metrics to Guide Your Journey</t>
  </si>
  <si>
    <t>https://www.gartner.com/document/3760663</t>
  </si>
  <si>
    <t>Introduce IT Score for Program and Portfolio Management.</t>
  </si>
  <si>
    <t>ITScore for Program and Portfolio Management</t>
  </si>
  <si>
    <t>https://www.gartner.com/document/code/355201</t>
  </si>
  <si>
    <t>Take four key steps to choose and set up the best type of PMO for your organization.</t>
  </si>
  <si>
    <t>Four Steps to Setting Up a PMO That Delivers Value.</t>
  </si>
  <si>
    <t>https://www.gartner.com/document/3871930</t>
  </si>
  <si>
    <t>Introduce the ITScore to assess PPM Maturity.</t>
  </si>
  <si>
    <t>Review ITScore results. Choose the best match  PMO setup from the four types that deliver value: Activist; Delivery; Centralized; Compliance.</t>
  </si>
  <si>
    <t>Troubleshoot issues with an analyst. Leverage research, for e.g.,</t>
  </si>
  <si>
    <t>Revitalize Your Zombie PMO</t>
  </si>
  <si>
    <t>https://www.gartner.com/document/3873518?ref=customproposal</t>
  </si>
  <si>
    <t>Review Peer content.</t>
  </si>
  <si>
    <t>PMO</t>
  </si>
  <si>
    <t>https://www.gartner.com/search/peerconv/simple?typeaheadTermType=&amp;typeaheadTermId=&amp;searchType=151&amp;keywords=PMO&amp;qid=ea811fd6cc469c80368902185a97fd07</t>
  </si>
  <si>
    <t>Establish consistent status reporting.</t>
  </si>
  <si>
    <t>Toolkit: Training Project Managers to Conduct Peer Health Checks</t>
  </si>
  <si>
    <t>https://www.gartner.com/document/3786663</t>
  </si>
  <si>
    <t>Review the current performance dashboards, identify improvements.</t>
  </si>
  <si>
    <t>Identify skills gaps and opportunities for skills development.</t>
  </si>
  <si>
    <t>Critical Soft Skills for Effective PMO Leadership</t>
  </si>
  <si>
    <t>https://www.gartner.com/document/3862768</t>
  </si>
  <si>
    <t>Learn about the emerging "Activist Investor" style of PMO.</t>
  </si>
  <si>
    <t>Activist Investor PMOs Drive Reform, Track Value and Provide Accountability</t>
  </si>
  <si>
    <t>https://www.gartner.com/document/3819964</t>
  </si>
  <si>
    <t>Discuss approach to improve the value proposition and impact of the EA program. Read first:</t>
  </si>
  <si>
    <t>Must-Read Research Notes to Start, Restart or Renew Your EA Program</t>
  </si>
  <si>
    <t>https://www.gartner.com/document/3839164</t>
  </si>
  <si>
    <t>Perform ITScore assessment to determine current state maturity and identify opportunities for improvements.</t>
  </si>
  <si>
    <t>ITScore for Enterprise Architecture</t>
  </si>
  <si>
    <t>https://www.gartner.com/document/3574218?ref=customproposal</t>
  </si>
  <si>
    <t>Review ITScore results. Identify opportunities for improvements to build a world-class EA capability.</t>
  </si>
  <si>
    <t>Establish the basis for understanding within the team.</t>
  </si>
  <si>
    <t>Toolkit: How to Create an EA Charter</t>
  </si>
  <si>
    <t>https://www.gartner.com/document/3891229?ref=customproposal</t>
  </si>
  <si>
    <t>Leverage toolkit to communicate the impact of EA</t>
  </si>
  <si>
    <t>Toolkit: Determining Your Business Scope and Focus for EA</t>
  </si>
  <si>
    <t>https://www.gartner.com/document/3884876</t>
  </si>
  <si>
    <t>Understand tool requirements for designing use cases and selecting EA tools to deliver business value.</t>
  </si>
  <si>
    <t>Determine the Critical Capabilities That Distinguish EA Tool Offerings</t>
  </si>
  <si>
    <t>https://www.gartner.com/document/3892167?ref=customproposal</t>
  </si>
  <si>
    <t xml:space="preserve">Consult on engaging application architects to clarify boundaries, provide context and enable line of sight between strategy and execution. </t>
  </si>
  <si>
    <t>The Distinction Between EA and Application Architecture...</t>
  </si>
  <si>
    <t>https://www.gartner.com/document/3738048?ref=customproposal</t>
  </si>
  <si>
    <t>Lunch and learn webinar to plan and present strategy to leadership, peers and teams.</t>
  </si>
  <si>
    <t>Leadership Vision for 2019: EA and Technology Innovation Leaders</t>
  </si>
  <si>
    <t>https://www.gartner.com/webinar/3851167</t>
  </si>
  <si>
    <t>Consult to elicit stakeholder concerns in a structured way and drive better decision making.</t>
  </si>
  <si>
    <t>Four Techniques EA Can Use To Make Smarter Strategic Decisions</t>
  </si>
  <si>
    <t>https://www.gartner.com/document/3885467?ref=customproposal</t>
  </si>
  <si>
    <t>Develop and apply standards through the EA governance model.</t>
  </si>
  <si>
    <t>Rethink EA Governance, Assurance and Review Boards...</t>
  </si>
  <si>
    <t>https://www.gartner.com/document/3854263</t>
  </si>
  <si>
    <t>Establish measurable criteria to improve stakeholder communication and guide architecture to achieve business outcomes.</t>
  </si>
  <si>
    <t>Use Quality Attributes to Align Business Requirements and Guide Solution Architecture</t>
  </si>
  <si>
    <t>https://www.gartner.com/document/3871067</t>
  </si>
  <si>
    <t>Consult to identify and track the degree to which the organization can reverse investment commitments in the event of disruption.</t>
  </si>
  <si>
    <t>Plan for the next  ITScore assessment. Measure progress.</t>
  </si>
  <si>
    <t>Plan for disruptive events.</t>
  </si>
  <si>
    <t>Massively Disruptive Events Require a Nonlinear Approach to Enterprise Architecture.</t>
  </si>
  <si>
    <t>https://www.gartner.com/document/3861164</t>
  </si>
  <si>
    <t>Review latest published research:</t>
  </si>
  <si>
    <t>Enterprise Architecture</t>
  </si>
  <si>
    <t>https://www.gartner.com/search/research/simple?typeaheadTermType=&amp;typeaheadTermId=&amp;searchType=2&amp;keywords=Enterprise%20Architecture&amp;qid=6ee0c027be9fd2cf7d51f5554e8ffc9f</t>
  </si>
  <si>
    <t>Retake ITScore assessment: track progress, identify opportunities and draft a plan for next steps.</t>
  </si>
  <si>
    <t>Introduce the Gartner tools available for IAM assessment.</t>
  </si>
  <si>
    <t>Toolkit: Self-Assess Your Identity and Access Management Capability</t>
  </si>
  <si>
    <t>https://www.gartner.com/document/3792884?ref=customproposal</t>
  </si>
  <si>
    <t>ITScore for Identity and Access Management</t>
  </si>
  <si>
    <t>Discuss assessment results. Revisit your scope, scale, needs and goals of IAM</t>
  </si>
  <si>
    <t>Business case review.</t>
  </si>
  <si>
    <t>Toolkit: Identity and Access Management Business Case Development</t>
  </si>
  <si>
    <t>https://www.gartner.com/document/3872886</t>
  </si>
  <si>
    <t>Gain insights on the innovations in IAM technologies.</t>
  </si>
  <si>
    <t>Hype Cycle for Identity and Access Management Technologies, 2018</t>
  </si>
  <si>
    <t>https://www.gartner.com/document/3882269</t>
  </si>
  <si>
    <t>Attend Symposium IAM oriented sessions and meet-ups. Plan a 1-on-1 with an analyst.</t>
  </si>
  <si>
    <t>Discuss the vendor landscape for IAM services.</t>
  </si>
  <si>
    <t>Magic Quadrant for Access Management, Worldwide</t>
  </si>
  <si>
    <t>https://www.gartner.com/document/3879469?ref=customproposal</t>
  </si>
  <si>
    <t>Review IAM metrics.</t>
  </si>
  <si>
    <t>Define the Right Metrics to Keep Track of IAM Effectiveness and Communicate Value to Stakeholders</t>
  </si>
  <si>
    <t>https://www.gartner.com/document/3863776</t>
  </si>
  <si>
    <t>Redo the self assessment with an Analyst and compare with prior year.</t>
  </si>
  <si>
    <t>End of year review: Update metrics scores, compare with benchmarks. Identify challenges and roadblocks. Plan ahead.</t>
  </si>
  <si>
    <t>Discuss vision and goals for digital transformation. Complete digital urgency assessment.</t>
  </si>
  <si>
    <t>Digital Business Ambition: Transform or Optimize?</t>
  </si>
  <si>
    <t>Review digital urgency assessment results. Prioritize digital initiatives.</t>
  </si>
  <si>
    <t>2018 Top Actions for Life Science CIOs: Prioritize Investments in Your Digital Transformation</t>
  </si>
  <si>
    <t>https://www.gartner.com/document/3868964</t>
  </si>
  <si>
    <t xml:space="preserve">Leverage the research to assess the current digital capability of the organization </t>
  </si>
  <si>
    <t>IT Key Metrics Data 2018: Key Industry Measures: Pharmaceuticals, Life Sciences and Medical Products Analysis: Current Year</t>
  </si>
  <si>
    <t>https://www.gartner.com/document/3833065?ref=solrAll&amp;refval=201016675&amp;qid=4fad9a4bbee7eea90ed46d5fd04770c3</t>
  </si>
  <si>
    <t xml:space="preserve">Which technologies are enabling digital business transformation and delivering tangible value. </t>
  </si>
  <si>
    <t>A CIO's Hype Cycle Reference Guide for the Healthcare and Life Science Industries</t>
  </si>
  <si>
    <t>https://www.gartner.com/document/3823183</t>
  </si>
  <si>
    <t xml:space="preserve">Assess the best tools which would be helpful in pharma related innovation </t>
  </si>
  <si>
    <t>Market Guide for Innovation Management Tools</t>
  </si>
  <si>
    <t>https://www.gartner.com/document/3748967?ref=customproposal</t>
  </si>
  <si>
    <t>Network with a CIO who has leveraged digital capabilities for R&amp;D in his organization</t>
  </si>
  <si>
    <t>How to drive the use of real-world data analytics.</t>
  </si>
  <si>
    <t>Life Science CIOs Must Deliver High-Value Analytics Solutions Using Real-World Data</t>
  </si>
  <si>
    <t>https://www.gartner.com/document/3868963</t>
  </si>
  <si>
    <t xml:space="preserve">Leverage the toolkit to analyze the capability of the vendors and select the final vendor to implement digital capability in the organization </t>
  </si>
  <si>
    <t>Toolkit: Risk Scoring Tool for Sourcing Digital Services</t>
  </si>
  <si>
    <t>https://www.gartner.com/document/3531717?ref=customproposal</t>
  </si>
  <si>
    <t>Review IT Key Metrics data. Discuss areas which show variation from industry standards.</t>
  </si>
  <si>
    <t>https://www.gartner.com/document/3833065</t>
  </si>
  <si>
    <t>Review progress. Discuss next steps.</t>
  </si>
  <si>
    <t>Review the engagement and plan and the scope of Digital Business Optimization</t>
  </si>
  <si>
    <t xml:space="preserve">Discuss vision and goals for digital transformation. Complete digital urgency assessment. </t>
  </si>
  <si>
    <t xml:space="preserve">Develop a road-map to provide next generation of healthcare to patients . </t>
  </si>
  <si>
    <t>Healthcare Provider CIO Strategies for Scaling Digital Care Delivery</t>
  </si>
  <si>
    <t>https://www.gartner.com/document/3867167</t>
  </si>
  <si>
    <t xml:space="preserve">Assess current readiness to adapt for the next generation healthcare services. </t>
  </si>
  <si>
    <t>Lunch and learn Symposium replay.</t>
  </si>
  <si>
    <t>Value Creation at the Intersection of the Future of Healthcare and Digital Technology Innovation</t>
  </si>
  <si>
    <t>https://www.gartnereventsondemand.com/session-video/SYM27/10g</t>
  </si>
  <si>
    <t xml:space="preserve">Which technologies are enabling digital transformation and delivering tangible value. </t>
  </si>
  <si>
    <t>Hype Cycle for Digital Care Delivery Including Telemedicine and Virtual Care, 2018</t>
  </si>
  <si>
    <t>https://www.gartner.com/document/3882881</t>
  </si>
  <si>
    <t>On cross-industry exposure and agile development to compete and expand value.</t>
  </si>
  <si>
    <t>Healthcare Business Driver: Industry Structure Transformation and Value Models</t>
  </si>
  <si>
    <t>https://www.gartner.com/document/3844975?ref=customproposal</t>
  </si>
  <si>
    <t>Opportunities for AI to create value for healthcare providers.</t>
  </si>
  <si>
    <t>Understand the Value of AI for Healthcare Delivery Organizations</t>
  </si>
  <si>
    <t>https://www.gartner.com/document/3869974</t>
  </si>
  <si>
    <t>Read Research:</t>
  </si>
  <si>
    <t>Healthcare Provider CIOs Must Hone These Arts to Become Extraordinary</t>
  </si>
  <si>
    <t>https://www.gartner.com/document/3869089</t>
  </si>
  <si>
    <t>Establish metrics for healthcare provider transformation.</t>
  </si>
  <si>
    <t>Healthcare Provider CIOs: Measure Digital Progress by Establishing Digital Key Performance Indicators</t>
  </si>
  <si>
    <t>https://www.gartner.com/document/3868268</t>
  </si>
  <si>
    <t>Peer connect with a CIO who is further down the road in emerging technologies to deliver healthcare in his organization</t>
  </si>
  <si>
    <t>Year-end assessment: Review progress, celebrate achievements, identify gaps and plan next steps.</t>
  </si>
  <si>
    <t>Session to assess progress and plan for the next year engagement</t>
  </si>
  <si>
    <t xml:space="preserve">Inquiry on encryption key management strategies to secure data assets. </t>
  </si>
  <si>
    <t>Develop an Enterprisewide Encryption Key Management Strategy or Lose the Data</t>
  </si>
  <si>
    <t>https://www.gartner.com/document/3817045?ref=customproposal</t>
  </si>
  <si>
    <t>Review research for insights to strengthen security initiatives for DevOps, applications and data sets</t>
  </si>
  <si>
    <t>Application and Data Security Primer for 2018</t>
  </si>
  <si>
    <t>https://www.gartner.com/document/3848501?ref=customproposal</t>
  </si>
  <si>
    <t xml:space="preserve">Consult on how to use infonomics to provide a financial analysis of the assets and liabilities for datasets. </t>
  </si>
  <si>
    <t>https://www.gartner.com/document/3834363?ref=customproposal</t>
  </si>
  <si>
    <t xml:space="preserve">Network with a CIO who has implemented a holistic data security strategy. </t>
  </si>
  <si>
    <t>Review research on sensitive data classification and handling.</t>
  </si>
  <si>
    <t>Building Effective Control Documents for Sensitive Data Classification and Handling</t>
  </si>
  <si>
    <t>https://www.gartner.com/document/3835264?ref=customproposal</t>
  </si>
  <si>
    <t>Inquire on how to craft control documents to achieve implementation success for sensitive data classification and handling.</t>
  </si>
  <si>
    <t>Toolkit: Sensitive Data Classification and Handling Control Documents</t>
  </si>
  <si>
    <t>https://www.gartner.com/document/3834685?ref=customproposal</t>
  </si>
  <si>
    <t>Consult on how to prioritize data assets for enterprisewide encryption to mitigate security threats and compliance requirements.</t>
  </si>
  <si>
    <t>Prioritize Enterprisewide Encryption for Critical Datasets</t>
  </si>
  <si>
    <t>https://www.gartner.com/document/3751664?ref=customproposal</t>
  </si>
  <si>
    <t xml:space="preserve">Attend technology sessions and 1.1. </t>
  </si>
  <si>
    <t>Review research on how to face a ransomware-dominated landscape for 2018</t>
  </si>
  <si>
    <t>How to Respond to the 2018 Threat Landscape</t>
  </si>
  <si>
    <t>https://www.gartner.com/document/3830130?ref=customproposal</t>
  </si>
  <si>
    <t xml:space="preserve">Best practices for ransomware protection. </t>
  </si>
  <si>
    <t>Seven Myths That Could Compromise Your Ransomware Response</t>
  </si>
  <si>
    <t>https://www.gartner.com/document/3507517?ref=customproposal</t>
  </si>
  <si>
    <t xml:space="preserve">Conduct an exercise to determine organization's ability to respond to a cyberattack.  </t>
  </si>
  <si>
    <t>https://www.gartner.com/document/3830146?ref=customproposal</t>
  </si>
  <si>
    <t>Inquiry on Spectre and Meltdown, a new class of vulnerabilities and how to protect against them.</t>
  </si>
  <si>
    <t>Security Leaders Need to Do Seven Things to Deal With Spectre/Meltdown</t>
  </si>
  <si>
    <t>https://www.gartner.com/document/3849360?ref=customproposal</t>
  </si>
  <si>
    <t>Consult on how to make educated trade-offs in endpoint protection to achieve low overhead, low end-user impact and the best available protection.</t>
  </si>
  <si>
    <t>Make Sense of Endpoint Malware Protection Technology</t>
  </si>
  <si>
    <t>https://www.gartner.com/document/3691617?ref=customproposal</t>
  </si>
  <si>
    <t>Leverage research to craft the most important security metrics.</t>
  </si>
  <si>
    <t>Apply Five Rules to Your Security Metrics</t>
  </si>
  <si>
    <t>https://www.gartner.com/document/3823187?ref=customproposal</t>
  </si>
  <si>
    <t>Research on how to proactively manage Cybersecurity and digital risk.</t>
  </si>
  <si>
    <t>Cybersecurity and Digital Risk Management: CIOs Must Engage and Prepare</t>
  </si>
  <si>
    <t>https://www.gartner.com/document/3846477?ref=customproposal</t>
  </si>
  <si>
    <t>Review the progress made on strengthening data security. Plan for the next steps basis evolving threat landscape.</t>
  </si>
  <si>
    <t xml:space="preserve">Review research to develop a network design framework. </t>
  </si>
  <si>
    <t>Focus on 5 Factors of Network Design for Digital Transformation</t>
  </si>
  <si>
    <t>https://www.gartner.com/document/3865418?ref=customproposal</t>
  </si>
  <si>
    <t>On leveraging SD-WAN to improve availability and save costs without affecting performance.</t>
  </si>
  <si>
    <t>SD-WAN Is Killing MPLS...</t>
  </si>
  <si>
    <t>https://www.gartner.com/document/3890682</t>
  </si>
  <si>
    <t xml:space="preserve">Consult on best practices to improve agility, increase uptime and reduce operating costs within network architecture. </t>
  </si>
  <si>
    <t>Network with fellow EXP member on best practices in network architecture evolution</t>
  </si>
  <si>
    <t>Inquiry on how to use Cloud Managed Networks to achieve greater agility.</t>
  </si>
  <si>
    <t>Technology Insight for Cloud-Managed Networks</t>
  </si>
  <si>
    <t>https://www.gartner.com/document/3864263?ref=customproposal</t>
  </si>
  <si>
    <t>Leverage research to focus on expanding WAN connectivity, and improved network agility.</t>
  </si>
  <si>
    <t>Predicts 2018: Enterprise Network Infrastructure and Services</t>
  </si>
  <si>
    <t>https://www.gartner.com/document/3837967?ref=customproposal</t>
  </si>
  <si>
    <t>How to segment networks into logical blocks and evaluate multiple vendors for each.</t>
  </si>
  <si>
    <t>Divide Your Network and Conquer the Best Price and Functionality</t>
  </si>
  <si>
    <t>https://www.gartner.com/document/3817866?ref=customproposal</t>
  </si>
  <si>
    <t>Inquiry on the feasibility of SD-WAN networks.</t>
  </si>
  <si>
    <t>SD-WAN Economics: Shift From Tactical to Strategic Thinking</t>
  </si>
  <si>
    <t>https://www.gartner.com/document/3861482?ref=customproposal</t>
  </si>
  <si>
    <t xml:space="preserve">Research on how to use managed SD-WAN services to improve network agility. </t>
  </si>
  <si>
    <t>Four Best Practices to Maximize Benefits of Managed SD-WAN Services</t>
  </si>
  <si>
    <t>https://www.gartner.com/document/3834719?ref=customproposal</t>
  </si>
  <si>
    <t>Determine impact of hybrid WAN implementation enabled by SD-WAN</t>
  </si>
  <si>
    <t>Toolkit: Calculate the Before-and-After SD-WAN Expenses</t>
  </si>
  <si>
    <t>https://www.gartner.com/document/3863063?ref=customproposal</t>
  </si>
  <si>
    <t xml:space="preserve">Inquiry to choose the correct NPMD tool. </t>
  </si>
  <si>
    <t>Critical Capabilities for Network Performance Monitoring and Diagnostics</t>
  </si>
  <si>
    <t>https://www.gartner.com/document/3859468?ref=customproposal</t>
  </si>
  <si>
    <t>Inquiry on how to train and build a NetOps 2.0 team for the future which includes network automation and network analytics.</t>
  </si>
  <si>
    <t>NetOps 2.0: Embrace Network Automation and Analytics to Stay Relevant in the Digital Business Era</t>
  </si>
  <si>
    <t>https://www.gartner.com/document/3597717?ref=customproposal</t>
  </si>
  <si>
    <t>Consult on capabilities of the vendors providing network automation tools.</t>
  </si>
  <si>
    <t>Market Guide for Network Automation</t>
  </si>
  <si>
    <t>https://www.gartner.com/document/3869769?ref=customproposal</t>
  </si>
  <si>
    <t>Research on worst practices in enterprise networks and how to mitigate them.</t>
  </si>
  <si>
    <t>Avoid These 'Bottom 10' Networking Worst Practices</t>
  </si>
  <si>
    <t>https://www.gartner.com/document/3834677?ref=customproposal</t>
  </si>
  <si>
    <t>Inquiry on the future of network and network services. including 'Intent based Networks'</t>
  </si>
  <si>
    <t>Innovation Insight: Intent-Based Networking Systems</t>
  </si>
  <si>
    <t>https://www.gartner.com/document/3599617?ref=customproposal</t>
  </si>
  <si>
    <t>Review progress and plan for future upgrades and evolution of network infrastructure.</t>
  </si>
  <si>
    <t>Assess key internal factors that can impact your ability to disrupt or react to disruption.</t>
  </si>
  <si>
    <t>How to Successfully Ride the Big Waves of Digital Disruption</t>
  </si>
  <si>
    <t>https://www.gartner.com/document/3817028?ref=customproposal</t>
  </si>
  <si>
    <t>On creating integrated, combinatorial strategies for disrupting competition and driving scale.</t>
  </si>
  <si>
    <t>Key Steps for Creating Disruptive Digital Strategies</t>
  </si>
  <si>
    <t>https://www.gartner.com/document/3869284</t>
  </si>
  <si>
    <t>On early indicators to identify potential disruptors.</t>
  </si>
  <si>
    <t>How to Recognize, Prioritize and Respond to Digital Disruption</t>
  </si>
  <si>
    <t>https://www.gartner.com/document/3715417</t>
  </si>
  <si>
    <t>Prioritize the disruptions with the potential to be most impactful to your business.</t>
  </si>
  <si>
    <t>Gartner's Digital Disruption Scale</t>
  </si>
  <si>
    <t>https://www.gartner.com/document/3718617</t>
  </si>
  <si>
    <t>Disruptor deep dive - Artificial Intelligence.</t>
  </si>
  <si>
    <t>Review cases studies, trends and insights to exploit innovation and willful disruption.</t>
  </si>
  <si>
    <t>Digital Disruptors: Trends and Insights</t>
  </si>
  <si>
    <t>https://www.gartner.com/document/code/327544</t>
  </si>
  <si>
    <t>Develop willful disruption strategies to address the industry problems and limitations.</t>
  </si>
  <si>
    <t>Predicts 2018: Digital Disruption</t>
  </si>
  <si>
    <t>https://www.gartner.com/document/3840564</t>
  </si>
  <si>
    <t xml:space="preserve">Network with an organization that is actively evaluating emerging trends and technologies for their disruptive potential. </t>
  </si>
  <si>
    <t>Understand the misconceptions to avoid confusion.</t>
  </si>
  <si>
    <t>The Top 10 Myths About Digital Disruption</t>
  </si>
  <si>
    <t>Lunch and learn session on how to mitigate threats and capture growth opportunities from disruptive innovation.</t>
  </si>
  <si>
    <t>Real World Strategies to Survive and Thrive in the Age of Digital Disruption</t>
  </si>
  <si>
    <t>https://www.gartnereventsondemand.com/session-video/SYM26/43k</t>
  </si>
  <si>
    <t>Review "Willful Disruption" research.</t>
  </si>
  <si>
    <t>Willful Disruption</t>
  </si>
  <si>
    <t>https://www.gartner.com/search/research/simple?typeaheadTermType=&amp;typeaheadTermId=&amp;searchType=2&amp;keywords=title%3A%22willful%20disruption%22&amp;qid=a85a3afd6d1f6d822e7a72efe54b0b99&amp;pageValue=1</t>
  </si>
  <si>
    <t>Disruptor deep dive - Internet of Things, Blockchain</t>
  </si>
  <si>
    <t>The Disruptive Potential of Blockchain Technology</t>
  </si>
  <si>
    <t>https://www.gartner.com/document/3729117</t>
  </si>
  <si>
    <t>Discuss leadership insights from Smarter with Gartner.</t>
  </si>
  <si>
    <t>Five mindset traits of disruptive digital leaders</t>
  </si>
  <si>
    <t>https://www.gartner.com/smarterwithgartner/five-mindset-traits-of-disruptive-digital-leaders/</t>
  </si>
  <si>
    <t>On educating your business leadership peers to understand the potential for disruption.</t>
  </si>
  <si>
    <t>Populating Gartner's Digital Disruption Scale</t>
  </si>
  <si>
    <t>https://www.gartner.com/document/3871147?ref=customproposal</t>
  </si>
  <si>
    <t>Consult on driving competitively important digital transformation leveraging ideas within and outside your industry.</t>
  </si>
  <si>
    <t>Best Practices for Developing a Digital Innovation Playbook</t>
  </si>
  <si>
    <t>https://www.gartner.com/document/3880365?ref=customproposal</t>
  </si>
  <si>
    <t>Disruptor deep dive - Blockchain.</t>
  </si>
  <si>
    <t>Leverage framework to recognize innovation contributions.</t>
  </si>
  <si>
    <t>Toolkit: Using New Metrics to Measure Innovation Effectiveness</t>
  </si>
  <si>
    <t>https://www.gartner.com/document/3879771</t>
  </si>
  <si>
    <t>Review research for insights on data and information safety:</t>
  </si>
  <si>
    <t>Application and Data Security</t>
  </si>
  <si>
    <t>https://www.gartner.com/explore/initiatives/overview/10688</t>
  </si>
  <si>
    <t>Consult with an EP. Outline your threat detection and mitigation policies. Leverage Gartner toolkit.</t>
  </si>
  <si>
    <t>Work with an analyst to assess your exposure to critical risks.</t>
  </si>
  <si>
    <t>https://www.gartner.com/document/3231718?ref=customproposal</t>
  </si>
  <si>
    <t>Work with an EP. Analyze, assess and revamp your data retention strategy.</t>
  </si>
  <si>
    <t>Toolkit: Sample Data Retention Policy</t>
  </si>
  <si>
    <t>https://www.gartner.com/document/3868501?ref=customproposal</t>
  </si>
  <si>
    <t>Analyst discussion on budgeting, financial analytics and investments relating to your data security initiatives</t>
  </si>
  <si>
    <t>How to Align Enterprise Data Security Initiatives With Overall Data Governance</t>
  </si>
  <si>
    <t>Lunch and Learn</t>
  </si>
  <si>
    <t>Outthink Threats: Change the Game with Cognitive Security</t>
  </si>
  <si>
    <t>https://www.gartnereventsondemand.com/session-video/SYM26/SPS36</t>
  </si>
  <si>
    <t>Discuss with an analyst on sensitive data classification and handling policies.</t>
  </si>
  <si>
    <t>Read:</t>
  </si>
  <si>
    <t>Year end review: Discuss achievements, identify roadblocks and plan next steps.</t>
  </si>
  <si>
    <t xml:space="preserve">EP discussion on taking your data security to the next phase. </t>
  </si>
  <si>
    <t>EP consultation on postmodern ERP for legacy applications</t>
  </si>
  <si>
    <t>Government CIOs Should Consider Postmodern ERP to Modernize Legacy Business Applications</t>
  </si>
  <si>
    <t>https://www.gartner.com/document/3719617?ref=customproposal</t>
  </si>
  <si>
    <t>Analyst discussion on utilizing Gartner's bimodal model for digitalizing your business</t>
  </si>
  <si>
    <t>Bimodal Simplifies and Focuses Digital Transformation</t>
  </si>
  <si>
    <t>https://www.gartner.com/document/3418317?ref=customproposal</t>
  </si>
  <si>
    <t>Evaluate using Cloud and APIs for your modernization exercise.</t>
  </si>
  <si>
    <t>How to Use Cloud to Modernize Legacy Systems</t>
  </si>
  <si>
    <t>https://www.gartner.com/document/3249517?ref=solrAll&amp;refval=201700471&amp;qid=0369d48b166ae29bb572d9bc07e2f1e4</t>
  </si>
  <si>
    <t>Read about Agile environments and their benefits:</t>
  </si>
  <si>
    <t>Agile Development and Mainframe Legacy Systems — Something's Got to Give</t>
  </si>
  <si>
    <t>https://www.gartner.com/document/3395217?ref=customproposal</t>
  </si>
  <si>
    <t>Utilize Gartner's framework to approach a digitalization challenge the correct way.</t>
  </si>
  <si>
    <t>Choose the Right Approach to Modernize Your Legacy Systems</t>
  </si>
  <si>
    <t>https://www.gartner.com/document/3873007?ref=customproposal</t>
  </si>
  <si>
    <t>Year-end review: Asses and discuss the progress on the project implementation. Plan for the next 60 days.</t>
  </si>
  <si>
    <t>Review newly published research.</t>
  </si>
  <si>
    <t>Latest research</t>
  </si>
  <si>
    <t>https://www.gartner.com/search/research/simple?searchType=2&amp;binValue=RSKiPSearchFacet==Legacy%20Modernization%20in%20Government||10436&amp;sortType=date</t>
  </si>
  <si>
    <t>Inquire on future technology trends in government applications and systems, and how to implement them without impacting mission critical systems.</t>
  </si>
  <si>
    <t>Interview CEO and Business Stakeholders to understand role technology plays in the strategy and key competencies for CIO role.</t>
  </si>
  <si>
    <t>Leverage Gartner Executive Partner as an objective trusted advisor and sounding board for critical IT decisions and strategy design/implementation.</t>
  </si>
  <si>
    <t>Executive Programs Testimonials</t>
  </si>
  <si>
    <t>https://www.gartner.com/technology/cio/testimonials.jsp</t>
  </si>
  <si>
    <t>Provide input on job description based on input to ensure it will attract the desired talent.</t>
  </si>
  <si>
    <t>Toolkit: Sample Job Description for the CIO</t>
  </si>
  <si>
    <t>https://www.gartner.com/document/3211319</t>
  </si>
  <si>
    <t>Review CIO compensation benchmark data to ensure understanding of market and candidate demands.</t>
  </si>
  <si>
    <t>Leverage Gartner Executive Partner to support search &amp; interview process e.g. sample questions, CIO scorecard for resume rating.</t>
  </si>
  <si>
    <t>On using a network of operational relationships to create strategic opportunities for transforming the enterprise.</t>
  </si>
  <si>
    <t>Creating Value Networks; CIO Desk Reference Chapter 16</t>
  </si>
  <si>
    <t>https://www.gartner.com/document/1965916</t>
  </si>
  <si>
    <t>Ongoing analyst support for IT Strategy development and execution.</t>
  </si>
  <si>
    <t>EXP Report: The CIO's Guide to Strategic Engagement</t>
  </si>
  <si>
    <t>https://www.gartner.com/document/3880467</t>
  </si>
  <si>
    <t>Ongoing analyst support for run the business IT priorities.</t>
  </si>
  <si>
    <t>Best practices for supporting the new CIO's transition into the organization.</t>
  </si>
  <si>
    <t>How to Prepare for the New CIO's Arrival</t>
  </si>
  <si>
    <t>https://www.gartner.com/document/code/348382</t>
  </si>
  <si>
    <t>Leverage Gartner Executive Partner to conduct reference checks for final candidates and provide feedback to CEO.</t>
  </si>
  <si>
    <t>Meet with new CIO to build First 100 Day Plan to help get up to speed quickly and make an impact.</t>
  </si>
  <si>
    <t>Toolkit: The CIO's First 100 Days</t>
  </si>
  <si>
    <t>https://www.gartner.com/document/3174518</t>
  </si>
  <si>
    <t>New CIO engagement with Gartner Executive Partner for accelerated CIO Onboarding/Assimilation.</t>
  </si>
  <si>
    <t>Work with Executive Partner to build a stakeholder map for strategic business initiatitves.</t>
  </si>
  <si>
    <t>Stakeholder Strategic Involvement Dashboard</t>
  </si>
  <si>
    <t>https://www.gartner.com/document/3769068</t>
  </si>
  <si>
    <t>Perform ITScore assessment to identify ITSM strategic priorities.</t>
  </si>
  <si>
    <t>So You've Been Asked to Create an IT Service Portfolio and IT Service Catalog</t>
  </si>
  <si>
    <t>https://www.gartner.com/document/3799263</t>
  </si>
  <si>
    <t>Prepare for IT Service Portfolio workshop.</t>
  </si>
  <si>
    <t>Toolkit: Workshop for Creating a Strategic IT Service Portfolio</t>
  </si>
  <si>
    <t>https://www.gartner.com/document/3425917</t>
  </si>
  <si>
    <t>Review ITScore results. Discuss best practices for evolving the service portfolio.</t>
  </si>
  <si>
    <t>Create a service improvement plan to enhance business relevance and improve service to the next maturity level.</t>
  </si>
  <si>
    <t>CIO's Guide to the IT Service Unified Framework: session on handling conflicts between operational practices and strategic goals.</t>
  </si>
  <si>
    <t>Insight on high priorities e.g. Formalize SLAs, re-engineer processes, adjust sourcing.</t>
  </si>
  <si>
    <t>Research on assessing tools that best support business objectives.</t>
  </si>
  <si>
    <t>The Reality of ITSM Tools as Enterprise Service Management Tools</t>
  </si>
  <si>
    <t>https://www.gartner.com/document/3885965?ref=customproposal</t>
  </si>
  <si>
    <t>Review use cases to select ITSM tools. Read first:</t>
  </si>
  <si>
    <t>Critical Capabilities for ITSM Tools</t>
  </si>
  <si>
    <t>https://www.gartner.com/document/3887787?ref=customproposal</t>
  </si>
  <si>
    <t>Evaluate and prioritize adoption of emerging technologies to optimize shared services.</t>
  </si>
  <si>
    <t>Move Your Shared Services Up the Value Chain</t>
  </si>
  <si>
    <t>https://www.gartner.com/document/3892164?ref=customproposal</t>
  </si>
  <si>
    <t xml:space="preserve">Network with peer on best practices for modernizing IT services portfolio and creation of IT services catalog. </t>
  </si>
  <si>
    <t>Review the seven areas of ITSM that must be improved to migrate to the desired state.</t>
  </si>
  <si>
    <t>2018 Strategic Roadmap for ITSM</t>
  </si>
  <si>
    <t>https://www.gartner.com/document/3870786</t>
  </si>
  <si>
    <t>Avoid These 10 Common Failings for Successful ITSM Projects</t>
  </si>
  <si>
    <t>Establish metrics to communicate the value provided in supporting business services.</t>
  </si>
  <si>
    <t>Design and Deploy ITSM KPIs and Metrics That Support Business Services</t>
  </si>
  <si>
    <t>https://www.gartner.com/document/3866868</t>
  </si>
  <si>
    <t>Inquiry to match the corresponding maturity level and delivery focus.</t>
  </si>
  <si>
    <t>Maturing the IT Service Portfolio for Strategic Business Impact</t>
  </si>
  <si>
    <t>https://www.gartner.com/document/3168018</t>
  </si>
  <si>
    <t>Review research to identify the changes on the horizon.</t>
  </si>
  <si>
    <t>Predicts 2018: IT Operations</t>
  </si>
  <si>
    <t>https://www.gartner.com/document/3835365</t>
  </si>
  <si>
    <t>Repeat ITScore assessment. Track progress and plan next steps.</t>
  </si>
  <si>
    <t>Best practices in transitioning to agile: getting started &amp; planning the pilot project.</t>
  </si>
  <si>
    <t>Planning an Agile Project</t>
  </si>
  <si>
    <t>https://www.gartner.com/document/3467417</t>
  </si>
  <si>
    <t>https://www.gartner.com/document/3739117</t>
  </si>
  <si>
    <t>From Projects to Products — Three Essential Actions for Every CIO</t>
  </si>
  <si>
    <t>https://www.gartner.com/document/3852270</t>
  </si>
  <si>
    <t>Review HBR Article.</t>
  </si>
  <si>
    <t>Embracing Agile</t>
  </si>
  <si>
    <t>https://hbr.org/2016/05/embracing-agile</t>
  </si>
  <si>
    <t>Evolve the application organization structure to support agile transformation.</t>
  </si>
  <si>
    <t>Flattening the Application Organization</t>
  </si>
  <si>
    <t>https://www.gartner.com/document/code/310274</t>
  </si>
  <si>
    <t>Network with a CIO who has implemented agile at scale.</t>
  </si>
  <si>
    <t>Implications of agile on traditional budgeting and governance processes</t>
  </si>
  <si>
    <t>Changing Governance to Exploit Enterprise Agile</t>
  </si>
  <si>
    <t>https://www.gartner.com/document/3252817</t>
  </si>
  <si>
    <t>Explore devops and continuous delivery as an essential part of agile success.</t>
  </si>
  <si>
    <t>Extend Your Organization's Definition of 'Done' to Achieve Continuous Delivery</t>
  </si>
  <si>
    <t>https://www.gartner.com/document/3748019</t>
  </si>
  <si>
    <t>Agile metrics</t>
  </si>
  <si>
    <t>Improve Scrum Development With Effective Use of Agile Metrics</t>
  </si>
  <si>
    <t>https://www.gartner.com/document/3823665</t>
  </si>
  <si>
    <t>Innovating With Agile &amp; DevOps — Taking It to the Next Level</t>
  </si>
  <si>
    <t>Global trends driving the Higher Education industry.</t>
  </si>
  <si>
    <t>Top 10 Business Trends Impacting Higher Education in 2018</t>
  </si>
  <si>
    <t>https://www.gartner.com/document/code/343300</t>
  </si>
  <si>
    <t>Team lunch and learn - Symposium replay:</t>
  </si>
  <si>
    <t>To the Point: The End of Education and the Future of Learning</t>
  </si>
  <si>
    <t>https://www.gartnereventsondemand.com/session-video/SYM27/13h</t>
  </si>
  <si>
    <t>Identify technologies that will accelerate strategy execution.</t>
  </si>
  <si>
    <t>Top 10 Strategic Technologies Impacting Higher Education in 2018</t>
  </si>
  <si>
    <t>https://www.gartner.com/document/code/343299</t>
  </si>
  <si>
    <t>Network with a CIO whose institution is considered a top performer in terms of progress in digital transformation.</t>
  </si>
  <si>
    <t>Discuss the current state of analytics and identify immediate priorities based on current strategy.</t>
  </si>
  <si>
    <t>Practical Business Analytics Strategy for Higher Education</t>
  </si>
  <si>
    <t>https://www.gartner.com/document/3869786</t>
  </si>
  <si>
    <t>Review findings from the latest CIO agenda.</t>
  </si>
  <si>
    <t>Toolkit: Findings From the 2018 CIO Agenda — A Higher Education Perspective</t>
  </si>
  <si>
    <t>https://www.gartner.com/document/3871945</t>
  </si>
  <si>
    <t>Digital Business Fundamentals: Adopting bimodal across the enterprise.</t>
  </si>
  <si>
    <t>Digital Business Fundamentals:</t>
  </si>
  <si>
    <t>CIOs Need Organizational Change Management and Change Leadership for Digital Business</t>
  </si>
  <si>
    <t>https://www.gartner.com/document/3815182</t>
  </si>
  <si>
    <t xml:space="preserve">Digital strategy progress checkpoint. Plan next 90 days. </t>
  </si>
  <si>
    <t>Artificial Intelligence use cases for higher education.</t>
  </si>
  <si>
    <t>Use AI to Take Student Success to the Next Level of Personalization in Higher Education</t>
  </si>
  <si>
    <t>https://www.gartner.com/document/3857266</t>
  </si>
  <si>
    <t>Review forward thinking research.</t>
  </si>
  <si>
    <t>The Future of Work Will Demand Changes to Higher Education</t>
  </si>
  <si>
    <t>https://www.gartner.com/document/3869113</t>
  </si>
  <si>
    <t xml:space="preserve">Read: </t>
  </si>
  <si>
    <t>Predicts 2018: Retail Unified Commerce Will Require Even Greater Collaboration and Alternative Models for Success</t>
  </si>
  <si>
    <t>https://www.gartner.com/document/3830978?ref=ddrec&amp;refval=3778894</t>
  </si>
  <si>
    <t>Leverage CIO Agenda insights to inform strategy and business priorities for unified commerce.</t>
  </si>
  <si>
    <t>2018 CIO Agenda: Retail Industry Insights</t>
  </si>
  <si>
    <t>https://www.gartner.com/document/3811263?ref=projectKI&amp;refval=10917</t>
  </si>
  <si>
    <t>Network with industry peers to reflect on emerging technologies and business models.</t>
  </si>
  <si>
    <t>Lunch and learn using Symposium replay.</t>
  </si>
  <si>
    <t>To the Point: AI in Retail — People or Machines or People and Machines?</t>
  </si>
  <si>
    <t>https://www.gartnereventsondemand.com/session-video/SYM27/12h</t>
  </si>
  <si>
    <t xml:space="preserve">Align business priorities to technology requirements and create roadmap:  </t>
  </si>
  <si>
    <t>Toolkit: Create a Strategic Technology Map for Unified Retail Commerce</t>
  </si>
  <si>
    <t>https://www.gartner.com/document/3778894?ref=projectKI&amp;refval=10917</t>
  </si>
  <si>
    <t xml:space="preserve">Have an onsite-worshop on 360 degree view of customer in a unified commerce environment: </t>
  </si>
  <si>
    <t xml:space="preserve">Read about use cases on emerging technologies in Retail CX and workplace environment changes: </t>
  </si>
  <si>
    <t>Use Cases Harness Emerging Technologies to Deliver Delightfully Disruptive Customer Experiences</t>
  </si>
  <si>
    <t>https://www.gartner.com/document/3863563?ref=ddrec&amp;refval=3778894</t>
  </si>
  <si>
    <t>Checkpoint: Discuss progress and plan next 90 days:</t>
  </si>
  <si>
    <t>Discuss the vendors that are enhancing the in-store experience with digital capabilities.</t>
  </si>
  <si>
    <t>Cool Vendors in Transforming Multichannel to Unified Retail Commerce</t>
  </si>
  <si>
    <t>https://www.gartner.com/document/3873632?ref=projectKI&amp;refval=10917</t>
  </si>
  <si>
    <t xml:space="preserve">Discuss digital-business-ready POS solutions and key capabilities. </t>
  </si>
  <si>
    <t>Market Guide for Digital-Business-Ready POS Applications for Tier 2 Midsize Multichannel Retailers</t>
  </si>
  <si>
    <t>https://www.gartner.com/document/3873900?ref=projectKI&amp;refval=10917</t>
  </si>
  <si>
    <t>Discuss conversational commerce technologies</t>
  </si>
  <si>
    <t>Innovation Insight for Conversational Commerce</t>
  </si>
  <si>
    <t>https://www.gartner.com/document/3753368?ref=customproposal</t>
  </si>
  <si>
    <t>Review research on emerging technologies.</t>
  </si>
  <si>
    <t>https://www.gartner.com/document/3753368</t>
  </si>
  <si>
    <t xml:space="preserve">Leverage before deployment and discuss key issues: </t>
  </si>
  <si>
    <t>10 Things Retailers Must Get Right to Succeed at Unified Commerce — Part 2</t>
  </si>
  <si>
    <t>https://www.gartner.com/document/3862265?ref=solrAll&amp;refval=202837380&amp;qid=8357b84b5d16836d77f45987e80e181c</t>
  </si>
  <si>
    <t>Continue to evolve and implement unified commerce strategies to deliver consumer service and fulfillment excellence.</t>
  </si>
  <si>
    <t>10 Things Retailers Must Get Right to Succeed at Unified Commerce</t>
  </si>
  <si>
    <t>https://www.gartner.com/document/3862364?ref=solrAll&amp;refval=202837380&amp;qid=8357b84b5d16836d77f45987e80e181c</t>
  </si>
  <si>
    <t>Assess progress and plan next steps.</t>
  </si>
  <si>
    <t xml:space="preserve">Review recently published research: </t>
  </si>
  <si>
    <t>Transforming from Multichannel to Unified Retail Commerce</t>
  </si>
  <si>
    <t>https://www.gartner.com/search/research/simple?searchType=2&amp;binValue=RSKiPSearchFacet==Transform%20Multichannel%20to%20Unified%20Retail%20Commerce||10917&amp;sortType=date</t>
  </si>
  <si>
    <t>Introductory discussion on the art of stakeholder management and the steps to mastery in this area.</t>
  </si>
  <si>
    <t>https://www.gartner.com/document/1156814?ref=customproposal</t>
  </si>
  <si>
    <t>A Practical Guide to Stakeholder Management</t>
  </si>
  <si>
    <t>https://www.gartner.com/document/2232116</t>
  </si>
  <si>
    <t>Analyst review of stakeholder power map. Generate ideas for addressing challenges.</t>
  </si>
  <si>
    <t>Lunch and learn Gartner Webinar</t>
  </si>
  <si>
    <t>https://www.gartner.com/webinar/3187126</t>
  </si>
  <si>
    <t>Develop persuasion skills.</t>
  </si>
  <si>
    <t>Research Presentation for 'The CIO's Trusted Advisor Playbook: Selling and Persuasion'</t>
  </si>
  <si>
    <t>https://www.gartner.com/document/3706217?ref=customproposal</t>
  </si>
  <si>
    <t>Develop an intentional brand for stakeholders to be aware of higher-value services that your organization can deliver.</t>
  </si>
  <si>
    <t>The CIO's Trusted Advisor Playbook, Part 2: Build a Better Brand for IT</t>
  </si>
  <si>
    <t>https://www.gartner.com/document/3873765</t>
  </si>
  <si>
    <t>Stakeholder management reading list.</t>
  </si>
  <si>
    <t>No One Understands You and What to Do About It</t>
  </si>
  <si>
    <t>https://www.amazon.com/One-Understands-You-What-About/dp/B017HJ1TM4/ref=sr_1_1?s=books&amp;ie=UTF8&amp;qid=1526586125&amp;sr=1-1&amp;keywords=No+One+Understands+You+and+What+to+Do+About+It</t>
  </si>
  <si>
    <t>Mastering the Art of the Political Discussion for CIOs</t>
  </si>
  <si>
    <t>Tips for creating a compelling vision.</t>
  </si>
  <si>
    <t>Create a Compelling Vision That Everyone Understands</t>
  </si>
  <si>
    <t>https://www.gartner.com/document/3859683</t>
  </si>
  <si>
    <t>Moving your management approach from push to passion.</t>
  </si>
  <si>
    <t>From Push to Passion: Using Inspiration as a Management Approach</t>
  </si>
  <si>
    <t>https://www.gartner.com/document/3779466</t>
  </si>
  <si>
    <t>Review</t>
  </si>
  <si>
    <t>Five Best Practices to Increase Stakeholder Engagement and Support in the Digital Era</t>
  </si>
  <si>
    <t>Global trends driving the K-12 Education industry</t>
  </si>
  <si>
    <t>Top Five Business Trends Impacting K-12 Education in 2018</t>
  </si>
  <si>
    <t>https://www.gartner.com/document/3847265?ref=customproposal</t>
  </si>
  <si>
    <t xml:space="preserve">Team lunch and learn - Symposium replay: </t>
  </si>
  <si>
    <t>Network with a K-12 CIO whose institution is considered a top performer in terms of progress in digital transformation.</t>
  </si>
  <si>
    <t>Review findings from the latest CIO agenda</t>
  </si>
  <si>
    <t>2018 CIO Agenda: A K-12 Education Perspective</t>
  </si>
  <si>
    <t>https://www.gartner.com/document/3865416?ref=customproposal</t>
  </si>
  <si>
    <t>Discuss the current state of digital assessment and identify strategies for incorporating it.</t>
  </si>
  <si>
    <t>Five Key Digital Assessment Trends in U.S. K-12 Education</t>
  </si>
  <si>
    <t>https://www.gartner.com/document/3260119?ref=customproposal</t>
  </si>
  <si>
    <t xml:space="preserve">Digital Business Fundamentals: Adopting bimodal across the enterprise. </t>
  </si>
  <si>
    <t xml:space="preserve">Digital Business Fundamentals: </t>
  </si>
  <si>
    <t>Assess the stakeholders readiness to change and plan for skill development.</t>
  </si>
  <si>
    <t>Avoid the Sinkholes on the Road to 1:1 Computing in K-12 Education</t>
  </si>
  <si>
    <t>https://www.gartner.com/document/3319117?ref=customproposal</t>
  </si>
  <si>
    <t>Review forward thinking research:</t>
  </si>
  <si>
    <t>Predicts 2018: Education's Uncharted Waters</t>
  </si>
  <si>
    <t>https://www.gartner.com/document/3836571</t>
  </si>
  <si>
    <t>Discuss Gartner's ITScore and best practices for performing an It Maturity assessment.</t>
  </si>
  <si>
    <t>Gartner ITScore</t>
  </si>
  <si>
    <t>Discuss the benefits of performing stakeholder analysis and creating power maps to help influence and persuade key internal stakeholders. Read first:</t>
  </si>
  <si>
    <t>Map out an initial set of activities needed to start the Strategy development process.</t>
  </si>
  <si>
    <t>A CIO’s Guide to Strategy Development</t>
  </si>
  <si>
    <t>Review first 30 days with a CIO analyst. Discuss initial observations and set goals for the next 60 days.</t>
  </si>
  <si>
    <t>Situational assessment: Strategy &amp; Execution, Leadership Team, Organizational Capabilities, Stakeholder Relationships, CIO Metrics, IT Brand.</t>
  </si>
  <si>
    <t>Develop a communication plan for the different layers of the organization.</t>
  </si>
  <si>
    <t>Discuss current governance model and how to evolve towards a more adaptive IT governance model suitable for supporting the new strategy.</t>
  </si>
  <si>
    <t>Adaptive IT Governance</t>
  </si>
  <si>
    <t>Discuss the role of the IT Investment Council to maximize the value of investments involving IT.</t>
  </si>
  <si>
    <t>Leverage Gartner templates</t>
  </si>
  <si>
    <t>Toolkit: Information and Technology Strategic Plan Template</t>
  </si>
  <si>
    <t>Strategy Kickoff workshop.</t>
  </si>
  <si>
    <t>Toolkit: How to Run an IT Strategy 2.0 Kickoff</t>
  </si>
  <si>
    <t>https://www.gartner.com/document/3723424</t>
  </si>
  <si>
    <t>Strategy review checkpoint.</t>
  </si>
  <si>
    <t>90 day review. Prepare for board level communications.</t>
  </si>
  <si>
    <t>Assess the organization's capability to execute on the business strategy.</t>
  </si>
  <si>
    <t>What Is an I&amp;T Operating Model, and How Do You Accelerate Its Design Process</t>
  </si>
  <si>
    <t>https://www.gartner.com/document/3828670</t>
  </si>
  <si>
    <t>Develop your brand story and plan to cultivate the new IT brand across the organization.</t>
  </si>
  <si>
    <t>Discuss Gartner's IT Budget tool. Perform an initial ITBudget assessment for benchmark purposes.</t>
  </si>
  <si>
    <t>Gartner's ITBudget Tool</t>
  </si>
  <si>
    <t>Leverage ITBudget results an input to business performance metrics design</t>
  </si>
  <si>
    <t xml:space="preserve">Laying the foundations for a maturing sourcing and procurement disciplines. </t>
  </si>
  <si>
    <t>Toolkit: Template for Establishing or Evolving a Technology Procurement Mission and Charter</t>
  </si>
  <si>
    <t>https://www.gartner.com/document/3876970</t>
  </si>
  <si>
    <t>Measure current state maturity. Identify gaps. Plan next steps.</t>
  </si>
  <si>
    <t>Toolkit: Four Steps to Maximize Your ITScore Technology Sourcing and Procurement Maturity Assessment</t>
  </si>
  <si>
    <t>https://www.gartner.com/document/3868670</t>
  </si>
  <si>
    <t>Review progress on 100 day objectives.</t>
  </si>
  <si>
    <t>The Technology Procurement Leader's First 100 Days</t>
  </si>
  <si>
    <t>https://www.gartner.com/document/3817863</t>
  </si>
  <si>
    <t>Skills development: How to develop business-focused skills and promote stakeholder participation.</t>
  </si>
  <si>
    <t>Evolve Technology Procurement Engagement Skills to Remain Relevant to the Business</t>
  </si>
  <si>
    <t>https://www.gartner.com/document/3810959</t>
  </si>
  <si>
    <t>Sourcing and procurement in the context of bimodal.</t>
  </si>
  <si>
    <t>Review peer converstions.</t>
  </si>
  <si>
    <t>Technology sourcing and procurement</t>
  </si>
  <si>
    <t>https://www.gartner.com/search/peerconv/simple?typeaheadTermType=&amp;typeaheadTermId=&amp;searchType=151&amp;keywords=technology%20sourcing%20and%20procurement&amp;qid=ee67fcc873c01c202c910425032cc406</t>
  </si>
  <si>
    <t xml:space="preserve"> Facilitated Networking: Peer network with a fellow CIO who has a mature sourcing and procurement management capability</t>
  </si>
  <si>
    <t>Re-run the ITScore assessment. Measure progress.</t>
  </si>
  <si>
    <t>Review recently published sourcing and procurement research.</t>
  </si>
  <si>
    <t>Latest Research</t>
  </si>
  <si>
    <t>https://www.gartner.com/search/research/simple?searchType=2&amp;binValue=RSKiPSearchFacet==Technology%20Sourcing%20and%20Procurement%20Transformation||10391&amp;sortType=date</t>
  </si>
  <si>
    <t>Discuss current state and the need to create/update ITAM frameworks and guidelines. Read first:</t>
  </si>
  <si>
    <t>Predicts 2018: Mature Your ITAM Discipline...</t>
  </si>
  <si>
    <t>https://www.gartner.com/document/3837371</t>
  </si>
  <si>
    <t>Laying the foundations for a mature IT Asset management discipline.</t>
  </si>
  <si>
    <t>Toolkit: ITAM Mission Statement and Charter</t>
  </si>
  <si>
    <t>https://www.gartner.com/document/3746453</t>
  </si>
  <si>
    <t>Team lunch and learn on the pitfalls to avoid.</t>
  </si>
  <si>
    <t>How to Build an Effective ITAM Policy</t>
  </si>
  <si>
    <t>https://www.gartner.com/webinar/3720219</t>
  </si>
  <si>
    <t>Review Gartner template - discuss best practices to establish/improve ITAM strategy.</t>
  </si>
  <si>
    <t>Toolkit: ITAM Strategic Roadmap</t>
  </si>
  <si>
    <t>https://www.gartner.com/document/3709517</t>
  </si>
  <si>
    <t>Prioritize software asset management investments.</t>
  </si>
  <si>
    <t>Three Critical Elements of a Successful SAM Tool Implementation</t>
  </si>
  <si>
    <t>https://www.gartner.com/document/3855748</t>
  </si>
  <si>
    <t>Assess SAM vendors against required capabilities.</t>
  </si>
  <si>
    <t>Critical Capabilities for SAM Tools</t>
  </si>
  <si>
    <t>https://www.gartner.com/document/3872081?ref=ddisp&amp;toggle=0</t>
  </si>
  <si>
    <t>Leverage RFP toolkit to facilitate the selection process.</t>
  </si>
  <si>
    <t>Toolkit: RFP Template and Evaluation Model for SAM...</t>
  </si>
  <si>
    <t>https://www.gartner.com/document/3881087</t>
  </si>
  <si>
    <t>Best practices for successful SAM tool implementation</t>
  </si>
  <si>
    <t>Three Critical Elements of a Successful Software Asset Management Tool Implementation</t>
  </si>
  <si>
    <t>Review Gartner Peer Insights ratings and reviews of SAM tools.</t>
  </si>
  <si>
    <t>Reviews for SAM Tools</t>
  </si>
  <si>
    <t>https://www.gartner.com/reviews/market/software-asset-management-tools?refval=CC-3872081&amp;content=3872081&amp;campaign=D2D-CriticalCapabilities</t>
  </si>
  <si>
    <t>Discuss the organization's readiness for a software audit.</t>
  </si>
  <si>
    <t>Toolkit: Optimize Your Software Audit Process and Results</t>
  </si>
  <si>
    <t>https://www.gartner.com/document/3871267</t>
  </si>
  <si>
    <t>Review of current technology asset life cycle to maximize the value of asset spending for business stakeholders.</t>
  </si>
  <si>
    <t>How to Get Technology Asset Life Cycle Management Right to Optimize Value</t>
  </si>
  <si>
    <t>https://www.gartner.com/document/3816987</t>
  </si>
  <si>
    <t>Read research on delivering robust, effective hardware asset management.</t>
  </si>
  <si>
    <t>Best Practices to Track Critical Hardware Assets and Minimize Business Risk</t>
  </si>
  <si>
    <t>https://www.gartner.com/document/3776564</t>
  </si>
  <si>
    <t>Review latest research on IT Asset Management.</t>
  </si>
  <si>
    <t>IT Asset Management</t>
  </si>
  <si>
    <t>https://www.gartner.com/search/research/simple?typeaheadTermType=&amp;typeaheadTermId=&amp;searchType=2&amp;keywords=IT%20Asset%20Management&amp;qid=7de5a4cf5f6bf9cfcdb39c4ded7b622c</t>
  </si>
  <si>
    <t>Conduct a self assessment of the I&amp;O environment's maturity in the organization.</t>
  </si>
  <si>
    <t>ITScore for Infrastructure and Operations</t>
  </si>
  <si>
    <t>https://www.gartner.com/document/3773964?ref=customproposal</t>
  </si>
  <si>
    <t>Consult on how to evolve the I&amp;O Leadership.</t>
  </si>
  <si>
    <t>Leadership Vision for 2018: Infrastructure &amp; Operations Leaders</t>
  </si>
  <si>
    <t>https://www.gartner.com/document/3780063?ref=customproposal</t>
  </si>
  <si>
    <t>Evolve Your Infrastructure and Operations Organization to Remain Relevant in the Cloud Era</t>
  </si>
  <si>
    <t>Review discussions and templates on peer connect for modernizing and stabilizing I&amp;O in the organization.</t>
  </si>
  <si>
    <t>Modernizing I&amp;O</t>
  </si>
  <si>
    <t>https://www.gartner.com/search/peerconv/simple?typeaheadTermType=&amp;typeaheadTermId=&amp;searchType=151&amp;keywords=I%26O&amp;qid=a20324131fae8e88ebf62c867bbdcbf7&amp;pageValue=1</t>
  </si>
  <si>
    <t>Discuss the top I&amp;O trends relevant for the organization.</t>
  </si>
  <si>
    <t>Top 2018 Trends Impacting Digital Infrastructure and Operations</t>
  </si>
  <si>
    <t>https://www.gartner.com/document/3854673?ref=customproposal</t>
  </si>
  <si>
    <t>Follow These Five Simple Steps to Rationalize and Renovate Your IT Infrastructure</t>
  </si>
  <si>
    <t>https://www.gartner.com/document/3778872?ref=customproposal</t>
  </si>
  <si>
    <t xml:space="preserve">Lunch and learn for the team - Symposium replay: </t>
  </si>
  <si>
    <t>Infrastructure &amp; Operations Automation, The Foundation For Digital Business</t>
  </si>
  <si>
    <t>https://eod.gartner.com/session-video/ESC26/44j</t>
  </si>
  <si>
    <t>Consult on the new I&amp;O operating model and design for digital business.</t>
  </si>
  <si>
    <t>Adopt a New I&amp;O Operating Model and Organization Design for Digital Business</t>
  </si>
  <si>
    <t>https://www.gartner.com/document/3865565?ref=customproposal</t>
  </si>
  <si>
    <t>Address technical skills gap to build digital dexterity.</t>
  </si>
  <si>
    <t>How to Build Digital Dexterity in Infrastructure and Operations</t>
  </si>
  <si>
    <t>https://www.gartner.com/document/3849965?ref=customproposal</t>
  </si>
  <si>
    <t>Understand the key challenges in I&amp;O modernization and how to mitigate them.</t>
  </si>
  <si>
    <t>Top Challenges Facing I&amp;O Leaders in 2018, and What to Do About Them</t>
  </si>
  <si>
    <t>https://www.gartner.com/document/3866774?ref=customproposal</t>
  </si>
  <si>
    <t>Communicate the I&amp;O business value using I&amp;0 business value map</t>
  </si>
  <si>
    <t>Toolkit: How to Build Your I&amp;O Business Value Map</t>
  </si>
  <si>
    <t>https://www.gartner.com/document/code/351030?ref=ggrec&amp;refval=3866868</t>
  </si>
  <si>
    <t>Review project implementation and make improvements to align the project with organization's objectives.</t>
  </si>
  <si>
    <t>Review progress, and plan on how to further develop the engagement for 2019.</t>
  </si>
  <si>
    <t>Review Gartner resources to support the AR exercise. Plan an initial application fitness &amp; value assessment.</t>
  </si>
  <si>
    <t>Application Portfolio... Assessment</t>
  </si>
  <si>
    <t>Review supporting research around the need to consolidate or standardize business functions.</t>
  </si>
  <si>
    <t>Apply These Best Practices for Application Consolidation</t>
  </si>
  <si>
    <t>https://www.gartner.com/document/2704320</t>
  </si>
  <si>
    <t>Discuss critical success factors for successful application rationalization, e.g. business engagement and change management.</t>
  </si>
  <si>
    <t xml:space="preserve">Review the results of fitness and value reviews and discuss best practices for prioritization. </t>
  </si>
  <si>
    <t>How to Prioritize Application Inventory...</t>
  </si>
  <si>
    <t>https://www.gartner.com/document/3891899?ref=customproposal</t>
  </si>
  <si>
    <t xml:space="preserve">Support rationalization by developing a set of clear principles that communicate how decisions re: technology, methodology and architecture are made. </t>
  </si>
  <si>
    <t>Toolkit: Application Principles Workshop</t>
  </si>
  <si>
    <t>Understand the pros and cons of application standardization for consideration in portfolio review and rationalization.</t>
  </si>
  <si>
    <t>When Application Standardization Works, and When It Doesn't</t>
  </si>
  <si>
    <t>https://www.gartner.com/document/code/255536</t>
  </si>
  <si>
    <t>How to remove bias and ensure a fact-based process when scoring of applications for rationalization.</t>
  </si>
  <si>
    <t>How to Address Bias When Evaluating Application Portfolios</t>
  </si>
  <si>
    <t>https://www.gartner.com/document/3892098?ref=customproposal</t>
  </si>
  <si>
    <t>Bimodal IT Is the Best Way to Deliver Application Rationalization: How rationalization solutions have changed dramatically in the light of bimodal.</t>
  </si>
  <si>
    <t>Consult on detailed stakeholder communications plans tailored for each line of business.</t>
  </si>
  <si>
    <t>Leveraging Gartner's IT Key Metrics Data.</t>
  </si>
  <si>
    <t>Review Applications Measures</t>
  </si>
  <si>
    <t>Network with fellow EXP Member on the topic of best practices for ongoing portfolio optimization.</t>
  </si>
  <si>
    <t>Review the approach for ongoing application review and retirement. Read first:</t>
  </si>
  <si>
    <t>How to Address Data Retention and Application Retirement</t>
  </si>
  <si>
    <t>https://www.gartner.com/document/3876364</t>
  </si>
  <si>
    <t xml:space="preserve">Series of calls to leverage Gartner analysts for support with vendor selection &amp; pricing review, for tools to enable ongoing portfolio optimization. </t>
  </si>
  <si>
    <t>Magic Quadrant for Integrated IT Portfolio Analysis Applications</t>
  </si>
  <si>
    <t>https://www.gartner.com/document/3833366</t>
  </si>
  <si>
    <t>How to measure the impact of application rationalization on the business.</t>
  </si>
  <si>
    <t>Review progress, and plan next priorities fro application rationalization.</t>
  </si>
  <si>
    <t xml:space="preserve">Assess the current state of data strategy. Discuss vision, goals.  </t>
  </si>
  <si>
    <t>Identify a data management strategy most suited to organization needs &amp; goals.</t>
  </si>
  <si>
    <t>https://www.gartner.com/explore/initiatives/overview/9947</t>
  </si>
  <si>
    <t>Navigating the complexities of Data Management.</t>
  </si>
  <si>
    <t>Data Management Strategy: Navigating Diverse Roles, Use Cases &amp; Markets</t>
  </si>
  <si>
    <t>https://www.gartner.com/document/3844563</t>
  </si>
  <si>
    <t>Finalize strategy for Data Management aligned to Analytics goals.</t>
  </si>
  <si>
    <t>A Strategic Plan for a Modern Data Management Solution for Analytics</t>
  </si>
  <si>
    <t>https://www.gartner.com/document/3844563?ref=customproposal</t>
  </si>
  <si>
    <t>Review case studies of finalists on how to create a modernized information infrastructure that delivers flexibility and scalability.</t>
  </si>
  <si>
    <t>Gartner Excellence Awards Lessons</t>
  </si>
  <si>
    <t>https://www.gartner.com/document/3766967</t>
  </si>
  <si>
    <t xml:space="preserve">Discuss best practices in data management to leverage modern-day analytics.
</t>
  </si>
  <si>
    <t>Efficiently Evolving Data From the Data Lake to the Data Warehouse</t>
  </si>
  <si>
    <t>https://www.gartner.com/document/3830145</t>
  </si>
  <si>
    <t xml:space="preserve">Consult on linking Data strategy to Data &amp; Analytics infrastructure. Leverage Toolkit.
</t>
  </si>
  <si>
    <t>Toolkit: Map Your Data Management Landscape With the Data and Analytics Infrastructure Model</t>
  </si>
  <si>
    <t>https://www.gartner.com/document/3874478</t>
  </si>
  <si>
    <t xml:space="preserve">State of Data Management - Balancing Collecting Data and Connecting to Data Is the Future.
</t>
  </si>
  <si>
    <t>Review the impact of AI on data infrastructure and best practices for data storage.</t>
  </si>
  <si>
    <t>Three Ways That AI Will Impact Your Data Management and Storage Strategy</t>
  </si>
  <si>
    <t>https://www.gartner.com/document/3888265</t>
  </si>
  <si>
    <t>Consult on how to adopt a trust-based approach to information governance.</t>
  </si>
  <si>
    <t>Reset Your Information Governance Approach by Moving From Truth to Trust</t>
  </si>
  <si>
    <t>https://www.gartner.com/document/3706817?ref=customproposal</t>
  </si>
  <si>
    <t>Review data governance strategy to ensure adherence to best practices.</t>
  </si>
  <si>
    <t>https://www.gartner.com/document/3874566</t>
  </si>
  <si>
    <t xml:space="preserve">Review progress and communication approach for Data Strategy implementation to business stakeholders.     
</t>
  </si>
  <si>
    <t>Research on Gartner's three rings model to simplify data classification.</t>
  </si>
  <si>
    <t>Use Gartner's Three Rings of Information Governance to Prioritize and Classify Records</t>
  </si>
  <si>
    <t>https://www.gartner.com/document/3128419?ref=customproposal</t>
  </si>
  <si>
    <t xml:space="preserve">Research on identifying specific root-cause roadblocks to data management achievements. </t>
  </si>
  <si>
    <t>Information Management Ma­turity — Critical Challenges, Real Remedies</t>
  </si>
  <si>
    <t>https://www.gartner.com/document/3488120?ref=customproposal</t>
  </si>
  <si>
    <t xml:space="preserve">Discuss data strategy that will support successful deployments of Artificial Intelligence. 
</t>
  </si>
  <si>
    <t>How to Create a Data Strategy for Machine Learning-Powered Artificial Intelligence</t>
  </si>
  <si>
    <t>https://www.gartner.com/document/3734817</t>
  </si>
  <si>
    <t>Inquiry on using AI in data management and how to monetize data.</t>
  </si>
  <si>
    <t>2018 CIO Agenda: CIOs in Midsize Enterprises Must Exploit AI and Data Monetization to Grow Their Business</t>
  </si>
  <si>
    <t>http://www.gartner.com/document/3865412?ref=customproposal</t>
  </si>
  <si>
    <t>Inquiry to understand the differences between Office 365 vs its on-premises counterparts (Exchange Online, SharePoint Online and Office suite).</t>
  </si>
  <si>
    <t>Review the Gartner toolkits available to support this initiative.</t>
  </si>
  <si>
    <t>Cloud Office Toolkits</t>
  </si>
  <si>
    <t>https://www.gartner.com/search/research/simple?typeaheadTermType=&amp;typeaheadTermId=&amp;searchType=2&amp;keywords=cloud%20office%20toolkit&amp;qid=dd31ebcc12702ed1e2b96ed36c6eb8c3&amp;binValue=GGInfoTypeSearchFacet==Toolkits||18&amp;binValue=RSKiPSearchFacet==Cloud%20Office||10522</t>
  </si>
  <si>
    <t>On presenting Office 365 as a portfolio of evolving services that creates opportunities for more innovative collaboration.</t>
  </si>
  <si>
    <t>... Evaluating and Implementing Microsoft Office 365</t>
  </si>
  <si>
    <t>https://www.gartner.com/document/3879984?ref=customproposal</t>
  </si>
  <si>
    <t>https://www.gartner.com/document/3833873?ref=customproposal</t>
  </si>
  <si>
    <t>How to leverage Gartner research and inquiry when selecting providers.</t>
  </si>
  <si>
    <t>Market Guide for Implementation and Migration Services — Microsoft Office 365, SharePoint and Skype Services</t>
  </si>
  <si>
    <t>https://www.gartner.com/document/3770464?ref=customproposal</t>
  </si>
  <si>
    <t xml:space="preserve">Inquiry on how to improve network agility to successfully support O365. </t>
  </si>
  <si>
    <t>Network Design Best Practices for Office 365</t>
  </si>
  <si>
    <t>https://www.gartner.com/document/3869366?ref=customproposal</t>
  </si>
  <si>
    <t>Encourage continuous adoption of cloud office workloads.</t>
  </si>
  <si>
    <t>Driving Office 365 and G Suite Workload Adoption</t>
  </si>
  <si>
    <t>https://www.gartner.com/document/3817013?ref=customproposal</t>
  </si>
  <si>
    <t xml:space="preserve">Inquiry on how to use the Gartner SaaS security framework for future enhancements on Office 365 security. </t>
  </si>
  <si>
    <t>How to Enhance the Security of Office 365</t>
  </si>
  <si>
    <t>https://www.gartner.com/document/3830147?ref=customproposal</t>
  </si>
  <si>
    <t xml:space="preserve">Inquiry on how to create a stronger connected, collaborative environment. </t>
  </si>
  <si>
    <t>Adoption Strategies for Optimizing G Suite and Office 365 Exclusive Services</t>
  </si>
  <si>
    <t>http://www.gartner.com/document/3560617?ref=customproposal</t>
  </si>
  <si>
    <t xml:space="preserve"> Inquiry on inclusion and maturation of AI in Microsoft Office 365.</t>
  </si>
  <si>
    <t>Maximize the Effectiveness of Office 365 and G Suite With Everyday AI</t>
  </si>
  <si>
    <t>http://www.gartner.com/document/3744117?ref=customproposal</t>
  </si>
  <si>
    <t>Cultivating Microsoft relationship to maximize negotiation leverage.</t>
  </si>
  <si>
    <t>Minimize Microsoft Office 365 Renewal Cost and Risk by Maximizing Your Negotiation Leverage</t>
  </si>
  <si>
    <t>http://www.gartner.com/document/3870400?ref=customproposal</t>
  </si>
  <si>
    <t>Review the engagement so far and plan for future steps.</t>
  </si>
  <si>
    <t>Discussion on the current status of Smart City Initiatives. Goals for the next 12 months. Identify next steps.</t>
  </si>
  <si>
    <t>Review Smart City Case Studies</t>
  </si>
  <si>
    <t>https://www.gartner.com/search/research/simple?typeaheadTermType=&amp;typeaheadTermId=&amp;searchType=2&amp;keywords=SMart%20city&amp;qid=ddc707854da61859a2ff84ca3da8de8a&amp;binValue=GGInfoTypeSearchFacet==Case%20Studies||2</t>
  </si>
  <si>
    <t>Essential elements of a Smart City Strategy. Connecting smart city investments to a broader intelligent urban ecosystem strategy.</t>
  </si>
  <si>
    <t>Turning Smart Cities Into Intelligent Urban Ecosystems</t>
  </si>
  <si>
    <t>https://www.gartner.com/document/3880105</t>
  </si>
  <si>
    <t>Develop a list of vendors with the capabilities required to deliver on the medium term strategy.</t>
  </si>
  <si>
    <t>Design a common agreement about smart city business strategies to align the technology roadmap accordingly.</t>
  </si>
  <si>
    <t>https://www.gartner.com/document/3807963</t>
  </si>
  <si>
    <t>Examples of Smart city implementation.</t>
  </si>
  <si>
    <t>The City of Naperville Gets Smart by Leveraging Advanced Analytics to Improve City Services</t>
  </si>
  <si>
    <t>http://www.gartner.com/document/3810882?ref=customproposal</t>
  </si>
  <si>
    <t xml:space="preserve">Inquiry on developing a strategic IoT wireless networking plan for supporting Smart Cities. </t>
  </si>
  <si>
    <t>Designing an IoT Wireless Networking Strategy for the Smart City</t>
  </si>
  <si>
    <t>https://www.gartner.com/document/3871492?ref=customproposal</t>
  </si>
  <si>
    <t>Review research on role of IoT in Smart city projects:</t>
  </si>
  <si>
    <t>IoT Connected Smart Cities: Human Factors Matter</t>
  </si>
  <si>
    <t>https://www.gartner.com/document/3873178?ref=customproposal</t>
  </si>
  <si>
    <t>Consult to develop a framework for Smart City wireless projects.</t>
  </si>
  <si>
    <t>Government CIOs: Develop an Integrated Smart City and Mobile Network Policy</t>
  </si>
  <si>
    <t>https://www.gartner.com/document/3867169?ref=customproposal</t>
  </si>
  <si>
    <t>Exploit AI progressively in smart city transformation.</t>
  </si>
  <si>
    <t>Three Rules When Using AI to Add Value to Your IoT Smart Cities</t>
  </si>
  <si>
    <t>https://www.gartner.com/document/3870008?ref=customproposal</t>
  </si>
  <si>
    <t>Review the progress made, technologies implemented and plan for future steps.</t>
  </si>
  <si>
    <t>Inquiry on predictions for smart city technology and solutions.</t>
  </si>
  <si>
    <t>Discuss key elements of a BPO strategy and approaches to evaluating services for BPO suitability.</t>
  </si>
  <si>
    <t>Discuss the BPO Vendor Landscape and recent changes in service offerings and contracting models.</t>
  </si>
  <si>
    <t>Market Guides for BPO</t>
  </si>
  <si>
    <t>https://www.gartner.com/search/research/simple?typeaheadTermType=&amp;typeaheadTermId=&amp;searchType=2&amp;keywords=Market%20Guide%20BPO&amp;qid=ff8f7b79b8acd81db957f83c6cde2b98&amp;binValue=RSKiPSearchFacet==Services%20Sourcing%20Execution||10675</t>
  </si>
  <si>
    <t xml:space="preserve">Team lunch and learn using webinar replay. 
</t>
  </si>
  <si>
    <t>Avoid the Common Outsourcing Pitfalls: The Next Evolution</t>
  </si>
  <si>
    <t>https://www.gartner.com/webinar/3804964</t>
  </si>
  <si>
    <t>Leverage the Gartner ESCAPE model to distill change leadership that CIOs can apply to bolster change success.</t>
  </si>
  <si>
    <t>Use the ESCAPE Model to Develop Change Leadership</t>
  </si>
  <si>
    <t>https://www.gartner.com/document/3877084</t>
  </si>
  <si>
    <t>Review supporting Gartner research/toolkits:</t>
  </si>
  <si>
    <t xml:space="preserve">Evaluate Countries for Outsourcing, Shared Services and Captives </t>
  </si>
  <si>
    <t>https://www.gartner.com/search/all/simple?typeaheadTermType=&amp;typeaheadTermId=&amp;searchType=21&amp;keywords=%22Evaluate%20Offshore%2FNearshore%22&amp;qid=cf078363febb1d7b41dae67acbeae496</t>
  </si>
  <si>
    <t xml:space="preserve">Gain new insights on best practice in BPO practice from analyst presentations, industry peers, vendor ITXpo.
</t>
  </si>
  <si>
    <t>Leverage Gartner Analysts for vendor evaluation, contract and pricing review.</t>
  </si>
  <si>
    <t xml:space="preserve">Team lunch and learn using webinar replay.   
</t>
  </si>
  <si>
    <t>Best Practices for IT Outsourcing Contracts from Structure and Content to Use</t>
  </si>
  <si>
    <t>https://www.gartner.com/webinar/3852763</t>
  </si>
  <si>
    <t>Discuss effective change management strategies for a successful BPO transition.</t>
  </si>
  <si>
    <t>https://www.gartner.com/document/3876769</t>
  </si>
  <si>
    <t>Email Research:</t>
  </si>
  <si>
    <t>How to Define Business-Relevant and Balanced Change Management Metrics</t>
  </si>
  <si>
    <t>https://www.gartner.com/document/3357717</t>
  </si>
  <si>
    <t>Peer Conversations</t>
  </si>
  <si>
    <t>Business Process Outsourcing</t>
  </si>
  <si>
    <t>https://www.gartner.com/search/peerconv/simple?typeaheadTermType=&amp;typeaheadTermId=&amp;searchType=151&amp;keywords=business%20process%20outsourcing&amp;qid=d60bb96e4b6f09b2dd74f20ecc78f5d6&amp;binValue=CONTENT_TYPE_BIN==Discussions</t>
  </si>
  <si>
    <t xml:space="preserve">Establish metrics for BPO.
</t>
  </si>
  <si>
    <t>IT Key Metrics Data 2018: Key Outsourcing Measures: Outsourcing Profiles: Current Year</t>
  </si>
  <si>
    <t>https://www.gartner.com/document/3831663</t>
  </si>
  <si>
    <t>Review progress, identify priorities for next wave of BPO maturity.</t>
  </si>
  <si>
    <t xml:space="preserve">Discuss alternative approaches to organizational design and which approach is the best fit for your organization. </t>
  </si>
  <si>
    <t>Lunch &amp; learn Event replay analyzing the organizational implications of the intersection of information, technology and business.</t>
  </si>
  <si>
    <t>Organizational Design for Digital Business Outcomes</t>
  </si>
  <si>
    <t>Meet with Executive Partner to share existing organization model, discuss options and outline an engagement plan to determine optimal structure.</t>
  </si>
  <si>
    <t xml:space="preserve">Register to attend Symposium and participate in workshops, roundtables and analyst 1:1 sessions relevant to your specific needs. </t>
  </si>
  <si>
    <t>Review foundational research on Renewing the IT Organizational model:</t>
  </si>
  <si>
    <t>Review I&amp;T Operating model research to discover the operating model changes other companies are creating to be more adaptive to the business.</t>
  </si>
  <si>
    <t>Series of analyst calls for recommendations on moving business units to a more product oriented design. Start with the I&amp;O organization.</t>
  </si>
  <si>
    <t xml:space="preserve">Use IT capability modeling to identify the capabilities your organization currently performs, what is needed for the future &amp; impact on org design.
</t>
  </si>
  <si>
    <t>Aligning existing resources and roles with business expectations for run-the-business functions as well as identify grow-transform functions.</t>
  </si>
  <si>
    <t>CIOs Can Use the Run-Grow-Transform Model to Align IT Functions and Roles to Strategic Business Priorities</t>
  </si>
  <si>
    <t>CIO Futures: The IT Organization in 2030 - explore a scenario for the structure, roles &amp; capabilities of IT in a hypothetical organization in 2030.</t>
  </si>
  <si>
    <t>Leading the change.</t>
  </si>
  <si>
    <t xml:space="preserve">Complete the Digital Urgency Assessment and review with an analyst alongside the draft roadmap. Receive feedback and best practices.
</t>
  </si>
  <si>
    <t>https://www.gartner.com/document/3768180</t>
  </si>
  <si>
    <t>Discuss vision and goals for digital. Is the ambition to optimize the existing business or to transform the business through digital?</t>
  </si>
  <si>
    <t xml:space="preserve">Register to attend Symposium and CIO Forum. Participate in workshops, roundtables and analyst 1:1 sessions relevant to your specific needs.   </t>
  </si>
  <si>
    <t>Review foundational research on Digital Business Transformation. Leverage the CEB roadmap and approach to drive the process.</t>
  </si>
  <si>
    <t>CEB: IT Strategic Planning for the Digital Enterprise</t>
  </si>
  <si>
    <t>https://www.gartner.com/document/3817031</t>
  </si>
  <si>
    <t>Master Four Types of Strategy to Perfect Your Digital Transformation</t>
  </si>
  <si>
    <t>https://www.gartner.com/document/3678517</t>
  </si>
  <si>
    <t xml:space="preserve">Align business stakeholders around a shared vision for digital transformation. </t>
  </si>
  <si>
    <t>Discuss challenges with transformation activities – e.g. lack of stakeholder engagement, conflicting priorities, and funding. Create action plan.</t>
  </si>
  <si>
    <t>Discuss what board level communications is needed. Review the 15 board-ready presentations &amp; identify those that can be used for upcoming meetings.</t>
  </si>
  <si>
    <t>What the Board Needs to Know About Digital Business</t>
  </si>
  <si>
    <t>https://www.gartner.com/document/3882003</t>
  </si>
  <si>
    <t>Look at the behaviors and practices inherent to your organization and identify any that pose potential barriers to digital adoption.</t>
  </si>
  <si>
    <t xml:space="preserve">Analyze dependencies across strategy, business models &amp; operating models. Use intelligent design to ensure dependencies do not create constraints. </t>
  </si>
  <si>
    <t>Determine how to measure success during the digital journey.</t>
  </si>
  <si>
    <t>Discuss IT components of strategy including required capabilities. Identify best practices to document and communicate.</t>
  </si>
  <si>
    <t>Review plans and communication approach for business transformation roadmap discussions.</t>
  </si>
  <si>
    <t xml:space="preserve">A CIOs Framework for Communicating Strategy </t>
  </si>
  <si>
    <t>https://www.gartner.com/document/3519742</t>
  </si>
  <si>
    <t xml:space="preserve">Instructions for delegation of the 14 ITScore diagnostic assessments to the accountable members of your team, who complete them independently online.
</t>
  </si>
  <si>
    <t>Providing insights into the Gartner maturity model/ITScore process and the relationship between IT maturity and successful transformation.</t>
  </si>
  <si>
    <t>Workshop with the IT leadership team to launch the ITScore assessment process and undertake the Executive View assessment that is a key benchmark.</t>
  </si>
  <si>
    <t>Our analysts and your Executive Partner will signpost research that has been written to help you to respond to the ITScore assessments.</t>
  </si>
  <si>
    <t>https://www.gartner.com/search/research/simple?typeaheadTermType=&amp;typeaheadTermId=&amp;searchType=2&amp;keywords=ITScore%20Toolkit&amp;qid=e4c2c49acc5073199b284e7ef8324e38</t>
  </si>
  <si>
    <t>Review of ITScore assessments  to gain an understanding of your overall strengths and weaknesses, and how you to compare with similar enterprises.</t>
  </si>
  <si>
    <t>Your Executive Partner will work with you to interpret the ITScore reports, put them in context, and prioritize follow up action.</t>
  </si>
  <si>
    <t xml:space="preserve">Register to attend Symposium and participate in workshops, round tables and analyst 1:1 sessions relevant to your specific needs.
</t>
  </si>
  <si>
    <t>Review research designed to help you create a maturity roadmap for each of the 14 functional areas covered in the ITScore process. Examples include:</t>
  </si>
  <si>
    <t>Moving up the ITScore Application Maturity Ladder: How Far and How Fast?</t>
  </si>
  <si>
    <t>Series of Analyst discussions for in-depth consideration of areas identified in the individual ITScore assessments.</t>
  </si>
  <si>
    <t>Assisted by your Executive Partner, complete the ITBudget Assessment which will enable you to compare results against Key Metrics data in your sector.</t>
  </si>
  <si>
    <t>http://www.gartner.com/explore/tools/it-budget</t>
  </si>
  <si>
    <t>Present a baseline from the IT Budget Tool. Review ITCO opportunities. Perform a benefits realization assessment. Mobilize the team.</t>
  </si>
  <si>
    <t>Use Gartner's Principles framework to assess and challenge your existing activities. Assess their full potential using the prioritization toolkit.</t>
  </si>
  <si>
    <t>Using Gartner's Decision Framework for Prioritizing Cost Optimization Initiatives</t>
  </si>
  <si>
    <t>https://www.gartner.com/document/3816665?ref=solrAll&amp;refval=193812706&amp;qid=9ea75f50c0d8a5e8077f1267e2fdbd77</t>
  </si>
  <si>
    <t>Review together and apply research including:</t>
  </si>
  <si>
    <t>Drive Cost Optimization and Efficiencies With IT Vendor Portfolio Rationalization</t>
  </si>
  <si>
    <t>Set targets for unit costs (cost per user) and staffing ratios, using this toolkit:</t>
  </si>
  <si>
    <t>Set up analyst inquiries (as many as you need) to review contracts due for renewal and identify opportunities for savings.</t>
  </si>
  <si>
    <t xml:space="preserve">Use this toolkit to explore ideas that have worked quickly and effectively in other businesses: </t>
  </si>
  <si>
    <t>https://www.gartner.com/document/code/321718?ref=grbody&amp;refval=3847367</t>
  </si>
  <si>
    <t xml:space="preserve">Explore Gartner's Cost Optimization home page to Identify the most productive potential approaches to reducing staffing levels and operating costs.
</t>
  </si>
  <si>
    <t>https://www.gartner.com/explore/initiatives/overview/10540</t>
  </si>
  <si>
    <t>Find the “next gear” of cost and productivity performance.</t>
  </si>
  <si>
    <t>CEB: The Right Way to Reset: 5 Steps for Hitting Cost and Productivity Targets While Your Organization Changes Gears</t>
  </si>
  <si>
    <t>https://www.gartner.com/document/3768945?ref=solrResearch&amp;refval=206811121&amp;qid=9cdb31d159c418ac2a9c651f50136076</t>
  </si>
  <si>
    <t>Optimizing cost optimization - What is cost optimization in 2018? How cost transparency supports cost optimization? Which cost initiatives to pursue?</t>
  </si>
  <si>
    <t>Conduct strategy kick off session with Executive Partner and review Gartner's strategy tools and templates. Review example strategy documents.</t>
  </si>
  <si>
    <t>EXP Report: A CIO’s Guide to Strategy Development</t>
  </si>
  <si>
    <t xml:space="preserve">Review ITScore results. Gain insights on the best ways to accelerate strategy development.
</t>
  </si>
  <si>
    <t>Review foundational research on IT Strategy:</t>
  </si>
  <si>
    <t>Use ITScore for Strategy &amp; Execution to assess the IT organization's ability to run like a business, partner with the business &amp; execute on strategy.</t>
  </si>
  <si>
    <t>Lunch &amp; learn webinar -Position I&amp;T at the heart of enterprise strategy. Build key capabilities in your organization to ensure strategy effectiveness.</t>
  </si>
  <si>
    <t>Strategy and the CIO: Contribute to Digital Business Success</t>
  </si>
  <si>
    <t>https://www.gartner.com/webinar/3868486</t>
  </si>
  <si>
    <t>Review Gartner Strategy Templates</t>
  </si>
  <si>
    <t>Strategy kick-off session after consultation with the CIO to bring IT and potentially business stakeholders together for strategy vision &amp; alignment.</t>
  </si>
  <si>
    <t>Use available tools and templates to build your IT strategic plan.</t>
  </si>
  <si>
    <t>CEB: IT Strategic Planning Process Map</t>
  </si>
  <si>
    <t>Working sessions on strategy development and review. Ensure your IT strategy is brief, clear and completely focused on business success.</t>
  </si>
  <si>
    <t>Communicating the IT Strategy across the organization.</t>
  </si>
  <si>
    <t>Discuss change management implications related to execution of the strategic direction.</t>
  </si>
  <si>
    <t>Integrate Organizational Change in the Strategic Planning Process</t>
  </si>
  <si>
    <t>Leverage scenario planning to test strategic assumptions against different, challenging conditions and to prepare suitable responses.</t>
  </si>
  <si>
    <t>Use Scenario Planning to Make Business and IT Strategies More Resilient in an Increasingly Volatile World</t>
  </si>
  <si>
    <t>Set reminders to register for CIO Forum and Symposium events. Plan to attend strategy focused sessions.</t>
  </si>
  <si>
    <t>Digital Business Demands New IT Operating Models.</t>
  </si>
  <si>
    <t>Review foundational research on I&amp;T Operating models.</t>
  </si>
  <si>
    <t>What Is an I&amp;T Operating Model, and How Do You Accelerate Its Design Process?</t>
  </si>
  <si>
    <t>Take this assessment to evaluate IT's contribution to business strategy and the effectiveness of its operating model in realizing enterprise goals.</t>
  </si>
  <si>
    <t xml:space="preserve">Working session to discuss current state and future state vision – complete the Operating Model questionnaire (go to figure 9 in the research note):  </t>
  </si>
  <si>
    <t xml:space="preserve">Identify the best sequencing for changes to the IT operating model based on your organization’s priorities.
</t>
  </si>
  <si>
    <t xml:space="preserve">CEB: The IT Operating Model for Digital: A Quick Start Guide </t>
  </si>
  <si>
    <t>https://www.gartner.com/document/3768179</t>
  </si>
  <si>
    <t>Review patterns for alternative operating models.</t>
  </si>
  <si>
    <t xml:space="preserve">Review questionnaire and assessment results. Discuss Operational model options. Define the optimized path/prioritization of the different components. </t>
  </si>
  <si>
    <t>Team lunch &amp; learn webinar covering how to design and build your new operating model.</t>
  </si>
  <si>
    <t>New IT Operating Model Framework and Patterns</t>
  </si>
  <si>
    <t>https://www.gartner.com/webinar/3884263</t>
  </si>
  <si>
    <t xml:space="preserve">Analyst calls to support the nine components of the operating model change initiative. </t>
  </si>
  <si>
    <t xml:space="preserve">Digital Business Demands New IT Operating Models
</t>
  </si>
  <si>
    <t>Discussion around how governance and culture both influence, and are influenced by, the design of an I&amp;T operating model.</t>
  </si>
  <si>
    <t xml:space="preserve">Review case studies on how leading companies have redesigned their I&amp;T Operating Model.
</t>
  </si>
  <si>
    <t xml:space="preserve">Review progress on the nine components and put together a plan for the next 90 days. </t>
  </si>
  <si>
    <t>Develop an innovation charter that defines the scope of the innovation effort, success metrics and goals.</t>
  </si>
  <si>
    <t>Kick off discussion. Clarify your innovation objectives by completing the innovation goals questionnaire in the research note below (see Appendix 1).</t>
  </si>
  <si>
    <t>Create a Research Engagement Plan to Advance Your Innovation Culture and Processes (see Appendix 1)</t>
  </si>
  <si>
    <t>Register to attend Symposium and participate in workshops, roundtables and analyst 1:1 sessions relevant to your specific needs.</t>
  </si>
  <si>
    <t xml:space="preserve">Review a draft of the innovation charter. Discuss staffing/activity plans. </t>
  </si>
  <si>
    <t>Team lunch and learn Symposium replay:</t>
  </si>
  <si>
    <t>Jump Start Your Innovation Journey: Customizable Roadmaps for Process, Culture and Outcomes</t>
  </si>
  <si>
    <t>Leverage Gartner’s Hype Cycle toolkit to develop a shortlist of options for technology-enabled business innovations.</t>
  </si>
  <si>
    <t>Use approaches from start ups:</t>
  </si>
  <si>
    <t>Laying the foundations for ensuring innovation projects can successfully scale.</t>
  </si>
  <si>
    <t>Review best practices implemented by technology-risk-aggressive innovators. Find 3-5 that should be instilled.</t>
  </si>
  <si>
    <t>Review tools and templates that help build team creativity and openness to sharing, expand and narrow team thinking, and improve employee innovations.</t>
  </si>
  <si>
    <t>CEB: Toolkit: Building Innovation in Your IT Team</t>
  </si>
  <si>
    <t>https://www.gartner.com/document/3879766</t>
  </si>
  <si>
    <t xml:space="preserve">Executive Partner led Business Value workshop: Identify, goals &amp; strategies, Map IT Initiatives to strategies. Identify metrics and baselines.  </t>
  </si>
  <si>
    <t xml:space="preserve">Introductory call – best practices for measuring and communicating the business value of IT. 
</t>
  </si>
  <si>
    <t>CEB: IT Value Stories</t>
  </si>
  <si>
    <t>https://www.gartner.com/document/3768189</t>
  </si>
  <si>
    <t>Start with a strategy consultation with your Executive Partner based on the insights, models and questions set out in the foundational research.</t>
  </si>
  <si>
    <t>Strategic Benefits Realization: IT as an Engine for Coherent Execution of Strategy</t>
  </si>
  <si>
    <t xml:space="preserve">Building a value model that provides CIOs with the ability to simulate the impact of IT investments and services on financial results.
</t>
  </si>
  <si>
    <t>The Gartner Business Value Model: A Framework for Measuring Business Performance</t>
  </si>
  <si>
    <t>https://www.gartner.com/document/3713917</t>
  </si>
  <si>
    <t>Creating an effective IT investment council to maximize the value of investment.</t>
  </si>
  <si>
    <t>Explore the application of the concept of financial transparency to the business value challenge.</t>
  </si>
  <si>
    <t xml:space="preserve">Team lunch and learn Symposium replay: 
</t>
  </si>
  <si>
    <t>Digital Business KPIs - Goals and Metrics That Define Success. How to define &amp; effectively communicate KPIs that establish goals and assess progress.</t>
  </si>
  <si>
    <t xml:space="preserve">Discuss the toolkit and learn how to correlate IT spending and business value metrics; to model potential investments and determine the value of IT. </t>
  </si>
  <si>
    <t>Evaluate the perspectives of different key stakeholders who will see and use the metrics. Develop a communication strategy for each audience.</t>
  </si>
  <si>
    <t>Lunch &amp; Learn event replay. Hear recommendations from our analysts on how to adapt IT Governance to meet current &amp; future demands for digital.</t>
  </si>
  <si>
    <t>Digital Requires a Hard Reset on IT Governance</t>
  </si>
  <si>
    <t>Review CEB Research:</t>
  </si>
  <si>
    <t>IT Governance : IT Fundamentals Series</t>
  </si>
  <si>
    <t>https://www.gartner.com/document/3768019?ref=cust_reco_sdemail</t>
  </si>
  <si>
    <t>Review research on establishing fundamentals that improve or initiate governance, focusing on the elements most critical to delivering value.</t>
  </si>
  <si>
    <t>Establishing Governance Fundamentals for the Digital Era</t>
  </si>
  <si>
    <t>https://www.gartner.com/document/3816989</t>
  </si>
  <si>
    <t xml:space="preserve">Review the governance charter. Discuss how CIOs must act as a change agent while transitioning to a new governance model. </t>
  </si>
  <si>
    <t>How to make governance more adaptable by adding new practices to the current governance repertoire, and applying them on a “fit for purpose” basis.</t>
  </si>
  <si>
    <t>Succeed With Digital Business Through Adaptive Governance</t>
  </si>
  <si>
    <t>https://www.gartner.com/document/3869836?ref=cust_reco_sdemail</t>
  </si>
  <si>
    <t>Discuss how to develop executive leadership in unifying, normalizing and resetting governance across the business.</t>
  </si>
  <si>
    <t>Explore how CIOs should develop central functions to improve responsiveness and alignment with enterprises’ digital priorities.</t>
  </si>
  <si>
    <t>CEB: The Future of IT Governance Roles</t>
  </si>
  <si>
    <t>https://www.gartner.com/document/3876471?ref=cust_reco_sdemail</t>
  </si>
  <si>
    <t>Set reminders to register for CIO Forum and Symposium events. Plan to attend IT Governance focused sessions. Book an analyst 1:1 on IT Governance.</t>
  </si>
  <si>
    <t>This session on adaptive governance will guide CIOs on how to tailor and extend the governance repertoire to deliver outcomes at the speed of digital.</t>
  </si>
  <si>
    <t>Call with an analyst to discuss Data Management strategies and adopting one that suits the needs and future goals of the organization.</t>
  </si>
  <si>
    <t xml:space="preserve">Register to attend Symposium and CIO Forum. Participate in workshops, roundtables and analyst 1:1 sessions relevant to your specific needs.   
</t>
  </si>
  <si>
    <t xml:space="preserve">Review and assess the current state of data strategy and management in the organization. Discuss visions, goals and next steps.
</t>
  </si>
  <si>
    <t>Review research: Future trends in Data Management.</t>
  </si>
  <si>
    <t>Predicts 2018: Data Management Strategies Continue to Shift Toward Distributed</t>
  </si>
  <si>
    <t>https://www.gartner.com/document/3823063</t>
  </si>
  <si>
    <t xml:space="preserve">Use ITScore to assess shortcomings, determine priorities &amp; identify actions for improving the maturity &amp; performance of Data &amp; Analytics capability.
</t>
  </si>
  <si>
    <t>Discuss best practices in data management to leverage modern-day analytics.</t>
  </si>
  <si>
    <t>Network with a CIO who has recently revamped Data Strategy in the organization.</t>
  </si>
  <si>
    <t>Review ITScore and plan to build Data Management capabilities from a gap analysis of current capabilities.</t>
  </si>
  <si>
    <t>Review forward-looking research.</t>
  </si>
  <si>
    <t>https://www.gartner.com/document/3746424</t>
  </si>
  <si>
    <t>Session on organizing teams for Data and Analytics deployment.</t>
  </si>
  <si>
    <t>Organizing Your Teams for Modern Data and Analytics Deployment</t>
  </si>
  <si>
    <t>https://www.gartner.com/document/3891681</t>
  </si>
  <si>
    <t xml:space="preserve">Take a graduated approach to governing, sharing and managing information.
</t>
  </si>
  <si>
    <t>https://www.gartner.com/document/3816972</t>
  </si>
  <si>
    <t>Discuss data strategy that will support successful deployments of Artificial Intelligence.</t>
  </si>
  <si>
    <t>Discuss on how to establish data governance standards, increase data usability, and develop end-user analysis capabilities.</t>
  </si>
  <si>
    <t>CEB: Data Management Playbook</t>
  </si>
  <si>
    <t>https://www.gartner.com/document/3766804</t>
  </si>
  <si>
    <t xml:space="preserve">Review progress and chart out the communication approach of the Data Strategy Roadmap to business stakeholders.    </t>
  </si>
  <si>
    <t>State of Data Management - Balancing Collecting Data and Connecting to Data Is the Future</t>
  </si>
  <si>
    <t>Call with an analyst to review your answers &amp; discuss how to leverage Gartner’s cloud strategy framework &amp; align cloud strategy to business outcomes.</t>
  </si>
  <si>
    <t>Your Cloud Strategy Needs to Be Bimodal</t>
  </si>
  <si>
    <t>Consult on building the business case for cloud strategy. Focus on articulating business benefits that are aligned with business goals.</t>
  </si>
  <si>
    <t>Build the Right Justification for Moving to the Cloud</t>
  </si>
  <si>
    <t xml:space="preserve">Register to attend Symposium and participate in workshops, roundtables and analyst 1:1 sessions relevant to your specific needs.  </t>
  </si>
  <si>
    <t xml:space="preserve">Review &amp; assess current state of cloud strategy in the organization. Discuss visions, goals &amp; next steps. Answer the questions posed by the research:
</t>
  </si>
  <si>
    <t>Devise an Effective Cloud Computing Strategy by Answering Five Key Questions</t>
  </si>
  <si>
    <t>https://www.gartner.com/document/code/270415</t>
  </si>
  <si>
    <t>A cloud specialist will address a broad audience to educate &amp; level-set, debunk myths, share trends and best practices, and kick-start the strategy.</t>
  </si>
  <si>
    <t>Internal session to bring IT and business stakeholders together for strategy vision &amp; alignment on Cloud.</t>
  </si>
  <si>
    <t>CEB: Cloud Strategy Roadmap and Checklist</t>
  </si>
  <si>
    <t>https://www.gartner.com/document/3766553</t>
  </si>
  <si>
    <t xml:space="preserve">Leverage Gartner analysts for cloud technology selection and contract/pricing negotiations.
</t>
  </si>
  <si>
    <t xml:space="preserve">Lunch and Learn webinar that introduces a framework for creating a cloud strategy that supports the IT strategy and links to value components. 
</t>
  </si>
  <si>
    <t>Building a Cloud Strategy that Works</t>
  </si>
  <si>
    <t>https://www.gartner.com/webinar/3778763</t>
  </si>
  <si>
    <t>Use this tool to build a custom cloud strategy roadmap based on the projected timeline, apply RACI designations, &amp; track progress towards goals.</t>
  </si>
  <si>
    <t>CEB: Designing a Cloud Strategy for the Enterprise</t>
  </si>
  <si>
    <t>https://www.gartner.com/document/3766554</t>
  </si>
  <si>
    <t xml:space="preserve">Discuss best practices to securely and reliably leverage the benefits of Cloud. Align current policies with best practices. </t>
  </si>
  <si>
    <t>Clouds Are Secure: Are You Using Them Securely?</t>
  </si>
  <si>
    <t>Review impact of movement to cloud on the structure, missions, and roles of and within IT organizations.</t>
  </si>
  <si>
    <t>Review research on current trends in I&amp;O - on moving away from Data-Centers towards moving workloads to colocation, hosting and the cloud.</t>
  </si>
  <si>
    <t>Understand the next waves of technologies building on cloud and discuss how cloud computing capabilities can be leveraged to drive business benefits.</t>
  </si>
  <si>
    <t>Discuss best practices to securely and reliably leverage the benefits of Cloud. Review current policies to align with best practices.</t>
  </si>
  <si>
    <t>Conduct an assessment of your team to understand the current state and gaps.</t>
  </si>
  <si>
    <t>Identify and communicate talent risks and the importance of emerging skills to execution success.</t>
  </si>
  <si>
    <t>CEB: Emerging Skills Roadmap</t>
  </si>
  <si>
    <t>https://www.gartner.com/document/3766836</t>
  </si>
  <si>
    <t>Review current and proposed organization structure. Consult on delivering business capabilities by leveraging people and processes.</t>
  </si>
  <si>
    <t>https://www.gartner.com/document/3295017</t>
  </si>
  <si>
    <t>Review practical steps to build high performing abilities in the team.</t>
  </si>
  <si>
    <t>https://www.gartner.com/document/3890089?ref=customproposal</t>
  </si>
  <si>
    <t>Discuss competencies critical to IT employees.</t>
  </si>
  <si>
    <t>CEB: Critical IT Competencies</t>
  </si>
  <si>
    <t>https://www.gartner.com/document/3821474</t>
  </si>
  <si>
    <t>Discussion on leveraging competency models to ramp up team performance and to use in career development, succession planning, performance management.</t>
  </si>
  <si>
    <t>Leverage templates to create a one page IT workforce plan to anticipate, identify and communicate steps required to fill talent gaps.</t>
  </si>
  <si>
    <t>CEB: Ignition Guide to Creating a Strategic IT Workforce Plan</t>
  </si>
  <si>
    <t>https://www.gartner.com/document/3766539</t>
  </si>
  <si>
    <t>On improving the effectiveness of IT Leadership Team: identifying behavior modifications, creating teams that capitalizes on members' strengths, etc.</t>
  </si>
  <si>
    <t>Organizational Resilience: Create the Teams That Plan and Respond Best</t>
  </si>
  <si>
    <t>https://www.gartner.com/document/3873435?ref=customproposal</t>
  </si>
  <si>
    <t>Consult on revamping professional development programs and grooming managers to be coaches who can build and sustain a continuous-learning culture.</t>
  </si>
  <si>
    <t>https://www.gartner.com/document/3834682</t>
  </si>
  <si>
    <t>On alternative approaches to workforce planning.</t>
  </si>
  <si>
    <t>Road Notes on Turning a Staffing Challenge Into an Opportunity</t>
  </si>
  <si>
    <t>https://www.gartner.com/document/2478620</t>
  </si>
  <si>
    <t>Read research on improving self-awareness and ability to regulate own emotions.</t>
  </si>
  <si>
    <t>How Emotional Intelligence Helps Leaders Become More Effective</t>
  </si>
  <si>
    <t>https://www.gartner.com/document/3203718</t>
  </si>
  <si>
    <t>Review tools and approaches to retain top talent.</t>
  </si>
  <si>
    <t>Competing for Top Talent: Build the Talent Platform</t>
  </si>
  <si>
    <t>https://www.gartner.com/document/3342517?ref=customproposal</t>
  </si>
  <si>
    <t xml:space="preserve">Develop AI strategy aligned to future trends.
</t>
  </si>
  <si>
    <t>Develop Your Artificial Intelligence Strategy Expecting These Three Trends to Shape Its Future</t>
  </si>
  <si>
    <t>https://www.gartner.com/document/3686117</t>
  </si>
  <si>
    <t>Discuss goals for AI and approaches to creating an AI strategy. Review EXP report with Executive Partner. Create a roadmap of next steps.</t>
  </si>
  <si>
    <t>An Artificial Intelligence Reality Check for CIOs</t>
  </si>
  <si>
    <t>How to establish operational tactics and strategies to get started on AI projects.</t>
  </si>
  <si>
    <t>Research Review:</t>
  </si>
  <si>
    <t>Hype Cycle for Artificial Intelligence, 2018</t>
  </si>
  <si>
    <t xml:space="preserve">Review core Artificial Intelligence technologies with a Gartner subject matter expert. Identify gaps in current technology skill-set. 
</t>
  </si>
  <si>
    <t xml:space="preserve">Analyze the potential of AI in various horizontal and vertical use cases.
</t>
  </si>
  <si>
    <t>Craft a business case for investment in Artificial Intelligence.</t>
  </si>
  <si>
    <t>Seven Factors That Make Business Cases for Artificial Intelligence Projects Different</t>
  </si>
  <si>
    <t>Discuss common AI myths and pitfalls and how to avoid them.</t>
  </si>
  <si>
    <t>Discuss how AI can be leveraged to improve a specific area e.g. Customer Experience.</t>
  </si>
  <si>
    <t>How to Use AI to Improve the Customer Experience</t>
  </si>
  <si>
    <t>Gartner on demand webinar replay:</t>
  </si>
  <si>
    <t>What to Do and Not Do With AI</t>
  </si>
  <si>
    <t>https://www.gartner.com/webinar/3842372</t>
  </si>
  <si>
    <t xml:space="preserve">Leverage framework to understand areas where AI can be applied across the organization. 
</t>
  </si>
  <si>
    <t>A Framework for Applying AI in the Enterprise</t>
  </si>
  <si>
    <t>https://www.gartner.com/document/3751363</t>
  </si>
  <si>
    <t>Lunch &amp; learn webinar: What level of adoption artificial intelligence has reached? How you should prepare for artificial intelligence? Case studies.</t>
  </si>
  <si>
    <t xml:space="preserve"> AI Strategy Special Report: What You Need to Do in 2018</t>
  </si>
  <si>
    <t>Peer Network with one of our members who has implemented Artificial Intelligence.</t>
  </si>
  <si>
    <t>Understand the powerful and tangible business benefits that data science projects deliver.</t>
  </si>
  <si>
    <t>Five Ways Data Science and Machine Learning Deliver Business Impacts</t>
  </si>
  <si>
    <t>https://www.gartner.com/document/3817374</t>
  </si>
  <si>
    <t xml:space="preserve">Call with an analyst to support Roadmap implementation – platform architecture, technology options, integration, security etc. 
</t>
  </si>
  <si>
    <t>Forward-looking research:</t>
  </si>
  <si>
    <t>How Machine Learning Impacts Business Benefits: How does machine learning work, and how can it benefit business? What are the challenges &amp; pitfalls.</t>
  </si>
  <si>
    <t>Identify the most suitable style of AI Center of Excellence and how to measure its success.</t>
  </si>
  <si>
    <t xml:space="preserve">Leverage Gartner analysts for AI vendor selection and contract review.  
</t>
  </si>
  <si>
    <t>Leverage gartner.com to stay abreast of the latest insights.</t>
  </si>
  <si>
    <t>Review alternate perspectives on Artificial Intelligence.</t>
  </si>
  <si>
    <t xml:space="preserve">Review progress and articulation of the AI Roadmap to business stakeholders.
</t>
  </si>
  <si>
    <t xml:space="preserve">Review progress and articulation of the AI Roadmap to business stakeholders.  
</t>
  </si>
  <si>
    <t xml:space="preserve">Discuss IT Score results with an analyst and prioritize actions to take to address gaps in security management.
</t>
  </si>
  <si>
    <t xml:space="preserve">Discuss current Information Security strategy and complete the maturity assessment to assess your exposure to critical risks. </t>
  </si>
  <si>
    <t xml:space="preserve">Outline current threat detection and mitigation policies. Leverage toolkit to plan for and respond to the challenges of targeted cyber attacks.
</t>
  </si>
  <si>
    <t xml:space="preserve">Craft an approach to stakeholder communications on security &amp; risk. Leverage Toolkit for board-relevant and business-aligned content.
</t>
  </si>
  <si>
    <t>Finalize Security strategy and leverage Toolkit to develop a security strategy that considers all factors and findings from assessments.</t>
  </si>
  <si>
    <t>Review tactical responses to the evolving threat landscape.</t>
  </si>
  <si>
    <t>https://www.gartner.com/document/3830130</t>
  </si>
  <si>
    <t xml:space="preserve">Analyst discussion on budgeting, financial analytics, and investments relating to your data security initiatives
</t>
  </si>
  <si>
    <t>Consult on best practices in creating Security policies.</t>
  </si>
  <si>
    <t xml:space="preserve">Discussion with an analyst on sensitive data classification and handling policies.
</t>
  </si>
  <si>
    <t xml:space="preserve"> Leverage Gartner tools to assess and visualize project value.</t>
  </si>
  <si>
    <t>CEB: Project and Business Alignment Scorecard</t>
  </si>
  <si>
    <t>https://www.gartner.com/document/3768285</t>
  </si>
  <si>
    <t>How and why CIOs who proactively, strategically engage with their business peers can build trust and partnerships that deliver business outcomes.</t>
  </si>
  <si>
    <t>EXP Report: Strategic Engagement Closes the IT and Business Divide to Deliver Business Outcomes</t>
  </si>
  <si>
    <t>https://www.gartner.com/document/3871453</t>
  </si>
  <si>
    <t xml:space="preserve">Register to attend Symposium and CIO Forum. Participate in workshops, roundtables and analyst 1:1 sessions relevant to your specific needs. </t>
  </si>
  <si>
    <t>Working session to discuss current state and future state goals of IT business alignment with your executive partner.</t>
  </si>
  <si>
    <t>Discuss how to engage directly with stakeholders to shift from responding to management-led business requirements to initiating business requirements.</t>
  </si>
  <si>
    <t>How to implement techniques which support business alignment with project objectives, as well as reporting alignment with the proper audiences.</t>
  </si>
  <si>
    <t>Two Effective Techniques to Facilitate Business Alignment</t>
  </si>
  <si>
    <t>https://www.gartner.com/document/3883824</t>
  </si>
  <si>
    <t>Walk through the Gartner Business Value model - a tool to explain and prioritize new IT investments and ongoing IT services to business executives.</t>
  </si>
  <si>
    <t>3-2-1 — A Simple Way for CEOs and CIOs to Discuss Business Technology Alignment.</t>
  </si>
  <si>
    <t xml:space="preserve">Gartner analyst discussion on how to become a trusted ally taking on responsibility for enterprisewide strategic decisions. </t>
  </si>
  <si>
    <t>From Partner to Trusted Ally — How to Stay Relevant as a CIO</t>
  </si>
  <si>
    <t>https://www.gartner.com/document/3726217</t>
  </si>
  <si>
    <t>Support activities to create an effective set of communications to the business.</t>
  </si>
  <si>
    <t xml:space="preserve">Best practices in transitioning to agile: getting started &amp; planning pilot projects. 
</t>
  </si>
  <si>
    <t>CEB: DevOps Implementation Roadmap</t>
  </si>
  <si>
    <t>https://www.gartner.com/document/3766814</t>
  </si>
  <si>
    <t xml:space="preserve">Discuss foundational steps that need to be taken to establish a successful DevOps initiative. 
</t>
  </si>
  <si>
    <t>DevOps — Eight Simple Steps to Get It Right</t>
  </si>
  <si>
    <t xml:space="preserve">Discuss goals for DevOps and Agile and approaches to craft a strategy. Review EXP report with Executive Partner. Create a roadmap of next steps. 
</t>
  </si>
  <si>
    <t>Agile Now at the Tipping Point — Here's How to Succeed</t>
  </si>
  <si>
    <t xml:space="preserve">Hold a lunch and learn session using Symposium replay. 
</t>
  </si>
  <si>
    <t>https://eod.gartner.com/session-video/SYM27/50f</t>
  </si>
  <si>
    <t xml:space="preserve">Identify the most suitable style of application organization structure to support agile transformation.
</t>
  </si>
  <si>
    <t>Everyone Must Be Part of the Agile Value Stream</t>
  </si>
  <si>
    <t xml:space="preserve">Recognize the most common causes of DevOps failures and understand how to avoid these pitfalls.
</t>
  </si>
  <si>
    <t>Top 5 Causes of DevOps Failure and How to Avoid Them</t>
  </si>
  <si>
    <t xml:space="preserve">Session on best practices in selecting the right tools for DevOps. </t>
  </si>
  <si>
    <t>Choosing the Right Tools for Your DevOps Toolchains</t>
  </si>
  <si>
    <t>https://www.gartner.com/document/3823210</t>
  </si>
  <si>
    <t>Discuss scaling DevOps initiative across the organization.</t>
  </si>
  <si>
    <t>Discuss the best practices in governance models for Agile.</t>
  </si>
  <si>
    <t xml:space="preserve">Establish a process for continually updating and evolving the toolchain to adapt to the organization’s and delivery team’s changing priorities.
</t>
  </si>
  <si>
    <t>CEB: Ignition Guide to Managing a DevOps Toolchain</t>
  </si>
  <si>
    <t>https://www.gartner.com/document/3882889</t>
  </si>
  <si>
    <t>Scaling DevOps Initiatives - how to begin scaling DevOps initiatives by avoiding common pitfalls and facilitating continuous learning from all teams.</t>
  </si>
  <si>
    <t>Approaches to consciously deepening the team's leadership capabilities  to remain relevant and maximize value contribution.</t>
  </si>
  <si>
    <t>Design a leadership competency self assessment to help senior leaders identify areas needing improvement and create an action plan for development.</t>
  </si>
  <si>
    <t>Leadership Competency Assessment: Planning for the Role of the CIO</t>
  </si>
  <si>
    <t>https://www.gartner.com/document/code/156468</t>
  </si>
  <si>
    <t>Meet with your Executive Partner to identify key challenges. Map out a set of activities designed to build leadership capability and address gaps.</t>
  </si>
  <si>
    <t>Broaden the sources of IT leadership talent. Design development experiences that enrich IT successor networks and build key competencies.</t>
  </si>
  <si>
    <t>CEB: Unblocking IT's Leadership Pipelines</t>
  </si>
  <si>
    <t>https://www.gartner.com/document/3769117</t>
  </si>
  <si>
    <t>Discuss potential stretch assignments for high performing employees.</t>
  </si>
  <si>
    <t>CEB: Ignition Guide to Developing Employees Through Stretch Assignments</t>
  </si>
  <si>
    <t>https://www.gartner.com/document/3823766</t>
  </si>
  <si>
    <t>How to revamp professional development programs and groom managers to be coaches who can build and sustain a continuous-learning culture.</t>
  </si>
  <si>
    <t>Lunch and learn webinar. This session looks at the why and how of developing Emotional Intelligence in yourself and your teams.</t>
  </si>
  <si>
    <t>Why Emotional Intelligence Is Crucial for CIOs and Their Teams</t>
  </si>
  <si>
    <t>https://www.gartner.com/webinar/3255717</t>
  </si>
  <si>
    <t xml:space="preserve">Understand the alternative leadership approaches and which approach will result in the best outcomes for a specific situation and the team. </t>
  </si>
  <si>
    <t>Toolkit: Five Situational Leadership Types: Executive Overview</t>
  </si>
  <si>
    <t>Walk through content designed to provide aspiring CIOs with knowledge and behavioral competencies they will call on throughout their career.</t>
  </si>
  <si>
    <t>Explore Leadership Development Modules</t>
  </si>
  <si>
    <t>https://www.gartner.com/explore/professional-development/leadership-tutorials</t>
  </si>
  <si>
    <t>How to perform top-down IT synergy analysis that leverages benchmarking information.</t>
  </si>
  <si>
    <t>Introductory call with Executive Partner - How to leverage Gartner throughout the M&amp;A Process.</t>
  </si>
  <si>
    <t>https://www.gartner.com/document/3555018</t>
  </si>
  <si>
    <t>Review foundational M&amp;A research:</t>
  </si>
  <si>
    <t>Communicate the IT function's post deal integration approach and the most significant, IT-dependent integration activities to the executive committee.</t>
  </si>
  <si>
    <t>Develop an M&amp;A IT integration plan aligned to the objectives of the deal. Identify key stakeholders and communicate relevant information effectively.</t>
  </si>
  <si>
    <t>CEB: Ignition Guide to Creating an M&amp;A IT Integration Plan</t>
  </si>
  <si>
    <t>https://www.gartner.com/document/3766744</t>
  </si>
  <si>
    <t>Assess the target company's IT staff, identify critical resources, and estimate IT-workforce-related integration costs and synergies.</t>
  </si>
  <si>
    <t>https://www.gartner.com/document/2057515</t>
  </si>
  <si>
    <t>Consult on communication strategy and tools.</t>
  </si>
  <si>
    <t>Register for Symposium and CIO Forum - schedule an Event 1:1 on M&amp;A.</t>
  </si>
  <si>
    <t>Series of calls on software contract considerations for M&amp;A integration.</t>
  </si>
  <si>
    <t>Navigating Mergers, Acquisitions and Divestitures in a Microsoft EA: On-Premises and in the Cloud</t>
  </si>
  <si>
    <t>https://www.gartner.com/document/3817466</t>
  </si>
  <si>
    <t xml:space="preserve">Based on the assessment results, create a realistic plan for what needs to be accomplished, by whom and when. </t>
  </si>
  <si>
    <t>An Action Plan for Maturing Vendor Management to a Formal Disciplined Program</t>
  </si>
  <si>
    <t>https://www.gartner.com/document/3664334</t>
  </si>
  <si>
    <t xml:space="preserve">Developing a vendor management mission and charter including governance policies and procedures.   </t>
  </si>
  <si>
    <t>Toolkit: Establish a Vendor Management Mission and Charter</t>
  </si>
  <si>
    <t>Walk through Gartner's ITScore assessment tool that can be used to  identify the current state of Vendor Management maturity.</t>
  </si>
  <si>
    <t>Toolkit: Use Gartner's M-A-T-U-R-E Methodology and ITScore to Create Your Vendor Management Maturity Roadmap</t>
  </si>
  <si>
    <t>Learn about major trends &amp; challenges affecting sourcing, procurement and Vendor Management leaders &amp; best practices for delivering the highest value.</t>
  </si>
  <si>
    <t>Webinar: Sourcing &amp; Vendor Management Leadership Vision for 2018</t>
  </si>
  <si>
    <t>Bimodal Sourcing &amp; Vendor Management - Explore ways to increase speed &amp; agility to satisfy stakeholders that now require a greater sense of urgency.</t>
  </si>
  <si>
    <t>Create a vendor performance management plan, track &amp; capture a complete view of a vendor’s performance, and identify &amp; fix vendor under performance.</t>
  </si>
  <si>
    <t>CEB: Ignition Guide to Vendor Performance Management for IT</t>
  </si>
  <si>
    <t>https://www.gartner.com/document/3767801</t>
  </si>
  <si>
    <t>Gartner Peer Insights Tool walk through where you can learn from the successes &amp; failures of your peers, or help others by contributing a review.</t>
  </si>
  <si>
    <t>Gartner Peer Insights</t>
  </si>
  <si>
    <t>https://www.gartner.com/reviews/home</t>
  </si>
  <si>
    <t>Leverage Gartner Vendor Ratings to inform your Vendor Management selections.</t>
  </si>
  <si>
    <t>Vendor Ratings</t>
  </si>
  <si>
    <t>https://www.gartner.com/search/research/simple?typeaheadTermType=&amp;typeaheadTermId=&amp;searchType=2&amp;keywords=vendor%20rating&amp;qid=20adca8dba7dfedab2f2166aeedb027c</t>
  </si>
  <si>
    <t>Call with an analyst to understand how trends and technology will shape the future state ERP. Discuss current ERP maturity and envision future state.</t>
  </si>
  <si>
    <t>Predicts 2018: Postmodern ERP Evolves to Support Digital Business, Investments Must Be Evaluated Cautiously</t>
  </si>
  <si>
    <t>Create a business case for ERP modernization that aligns with business goals, delineates responsibilities and defines metrics for success.</t>
  </si>
  <si>
    <t>https://www.gartner.com/document/3778888</t>
  </si>
  <si>
    <t xml:space="preserve">Working session to discuss current state and future state vision for ERP. Review EXP report with Executive Partner. Create a roadmap of next steps. 
</t>
  </si>
  <si>
    <t>2018 Strategic Roadmap for Postmodern ERP</t>
  </si>
  <si>
    <t>Map out a communication strategy for stakeholders that shifts the perception of ERP from legacy transactional technology to digital business enabler.</t>
  </si>
  <si>
    <t>You Are Not 'Doing ERP': How CIOs Can Successfully Present Their ERP Strategy to the Board</t>
  </si>
  <si>
    <t>https://www.gartner.com/document/3875076</t>
  </si>
  <si>
    <t>Review the ERP application portfolio and consult Gartner analysts in making the 'Buy' vs 'Build' decision.</t>
  </si>
  <si>
    <t>Review the typical challenges faced in ERP modernization projects and the best practices for beginning the strategize and plan phase.</t>
  </si>
  <si>
    <t>Postmodern ERP Life Cycle: How to Start the Strategize and Plan Phase</t>
  </si>
  <si>
    <t>https://www.gartner.com/document/code/327466</t>
  </si>
  <si>
    <t>Call with an analyst to develop guiding principles that support execution of the ERP strategy and establish effective long-term governance.</t>
  </si>
  <si>
    <t xml:space="preserve">Discuss establishing best practices in working with business stakeholders to maintain focus on benefits realization throughout the ERP life cycle.
</t>
  </si>
  <si>
    <t>Engage analyst on accelerating ERP adoption, productivity and benefits realization using the best practices.</t>
  </si>
  <si>
    <t xml:space="preserve">The 10 Ugly Truths of Postmodern ERP -This session exposes 10 truths about postmodern ERP scenarios, and how CIOs can mitigate this added complexity.
</t>
  </si>
  <si>
    <t>Prepare a business case for ERP modernization that defines business benefits, delineates responsibilities and ownership and maps metrics for success.</t>
  </si>
  <si>
    <t xml:space="preserve">Discuss goals for Leadership. Review EXP report and create a roadmap of next steps. 
</t>
  </si>
  <si>
    <t>How to create a robust and reusable organizational change competency that positions the enterprise to respond to changing demands.</t>
  </si>
  <si>
    <t>Lunch &amp; learn Gartner Webinar covering why it is key to understand to whom you are speaking so you can structure messages that are meaningful to you.</t>
  </si>
  <si>
    <t>Develop a selection of vignettes to bring the strategy to life. Create a 1 page version of the strategy. Craft a “change story” for the organization.</t>
  </si>
  <si>
    <t>https://www.gartner.com/document/3612017</t>
  </si>
  <si>
    <t>Develop a “change story” for the organization. Review the change story with  an analyst and discuss initial steps and communication.</t>
  </si>
  <si>
    <t xml:space="preserve">Exchange ideas with other Gartner clients who are tackling similar challenges. </t>
  </si>
  <si>
    <t>Map out the key elements of a communication plan. Review and apply Gartner Tools. Try out your change stories on a Gartner subject matter expert.</t>
  </si>
  <si>
    <t>CEB: Ignition Guide to Creating a Change Communication Plan</t>
  </si>
  <si>
    <t>https://www.gartner.com/document/3766770</t>
  </si>
  <si>
    <t>Review the Gartner ESCAPE model and discuss how this model can be applied during the transformation efforts.</t>
  </si>
  <si>
    <t>https://www.gartner.com/document/3509017?ref=solrAll&amp;refval=203798448&amp;qid=89b17c7cbafeb771a57ae4b1fbd910ff</t>
  </si>
  <si>
    <t>Review your collateral and try out your change stories on a Gartner subject matter expert.</t>
  </si>
  <si>
    <t>Discuss specific areas of concern and risk with a Gartner subject matter expert.</t>
  </si>
  <si>
    <t>How to re-master your leadership style using Gartner's "Six Personas" fit for leading and influencing in a climate of Digital Business change.</t>
  </si>
  <si>
    <t xml:space="preserve">Learn about the best practices in building high-performance, adaptive teams. </t>
  </si>
  <si>
    <t xml:space="preserve">Review key messages from the book Switch: "Direct the Rider, Motivate the Elephant, Shape the Path." </t>
  </si>
  <si>
    <t>Discuss best practices CIOs can use to ensure IT is positioned to work effectively with executive leadership teams across the enterprise.</t>
  </si>
  <si>
    <t>Get the Right Seat at the Table</t>
  </si>
  <si>
    <t>https://www.gartner.com/document/3847510</t>
  </si>
  <si>
    <t>Leverage CIO's first 100 days toolkit for a quick assessment of the different aspects of the CIO role &amp; identify areas requiring immediate focus.</t>
  </si>
  <si>
    <t>Understand the opportunities and challenges that the digital era brings to leadership roles. Learn about techniques to adapt your leadership approach.</t>
  </si>
  <si>
    <t>How CIOs can close the business-IT divide and better engage with business stakeholders to optimize the value of I&amp;T as an input to business strategy.</t>
  </si>
  <si>
    <t>The CIO's Guide to Strategic Engagement</t>
  </si>
  <si>
    <t>Ongoing - working sessions with Executive Partner to review upcoming leadership presentations.</t>
  </si>
  <si>
    <t xml:space="preserve">CEB Ignition™  Guide to Delivering Compelling Presentations </t>
  </si>
  <si>
    <t>https://www.gartner.com/document/3767874</t>
  </si>
  <si>
    <t>To introduce the Five Situational Leadership Types to your management team. Includes a self-assessment questionnaire to use with participants.</t>
  </si>
  <si>
    <t>Toolkit: Five Situational Leadership Types — Workshop</t>
  </si>
  <si>
    <t>https://www.gartner.com/document/3789765</t>
  </si>
  <si>
    <t>Define an inspiring vision and a compelling "why" that will motivate employees and communicate it consistently to build understanding.</t>
  </si>
  <si>
    <t>How to evaluate your emotional intelligence to improve self-awareness and ability to regulate emotions.</t>
  </si>
  <si>
    <t>Lunch and learn: This session helps CIOs know when they are in a political conversation, and provides practical techniques for a successful outcome.</t>
  </si>
  <si>
    <t>https://www.gartner.com/webinar/3841967?ref=solrSearch&amp;srcId=1-5418502758</t>
  </si>
  <si>
    <t>Discuss current state. Use Gartner's maturity model to improve the customer experience via a systematic process to improve CSAT loyalty and advocacy.</t>
  </si>
  <si>
    <t>The Gartner Customer Experience Management Maturity Model</t>
  </si>
  <si>
    <t xml:space="preserve">Review maturity results. Define success criteria for CRM &amp; Customer Experience program. Identify next steps. </t>
  </si>
  <si>
    <t>Review survey results  aimed at helping leaders reconcile stakeholder perspectives on CRM and CX initiatives to differentiate the organization.</t>
  </si>
  <si>
    <t>Realizing the Benefits of Superior CX: A Gartner Trend Insight Report</t>
  </si>
  <si>
    <t>Team lunch and learn using Symposium replay. Understand a CRM project from eight different perspectives.</t>
  </si>
  <si>
    <t>14 Years of Best Practices From the Eight Building Blocks of CRM</t>
  </si>
  <si>
    <t>Consult on criteria to prioritize innovative experience ideas to build a differentiated customer experience. Read first:</t>
  </si>
  <si>
    <t>CEB: Experience Innovation Prioritization Tool</t>
  </si>
  <si>
    <t>https://www.gartner.com/document/3886273</t>
  </si>
  <si>
    <t>Designing your customer engagement hub to optimally engage the customer by typing multiple systems together.</t>
  </si>
  <si>
    <t xml:space="preserve">How Artificial intelligence will transform the customer experience through deeper understanding of customer behavior. </t>
  </si>
  <si>
    <t>How a team at State Farm conducted a root-cause analysis of customer pain points and uses its findings to inform the IT portfolio planning process.</t>
  </si>
  <si>
    <t>CEB: Applying a Customer Experience Lens to IT Planning</t>
  </si>
  <si>
    <t>https://www.gartner.com/document/3764423</t>
  </si>
  <si>
    <t>Identifying ROI metrics for CX improvement projects to link CX investment to financial benefit in order to prioritize investment in new technologies.</t>
  </si>
  <si>
    <t>Customer Experience 2018 Benchmarks: Turning Return on Investment Into Reality</t>
  </si>
  <si>
    <t>https://www.gartner.com/document/3873985</t>
  </si>
  <si>
    <t>Introduction to how Gartner's peer insights can help you choose enterprise IT software and services with confidence.</t>
  </si>
  <si>
    <t>Reviews for CRM and Customer Experience Implementation Services, Worldwide</t>
  </si>
  <si>
    <t>https://www.gartner.com/reviews/market/crmandcustomerexperienceimplementationservicesworldwide?refval=iMQ-3843472&amp;content=3843472&amp;campaign=D2D-MagicQuadrant</t>
  </si>
  <si>
    <t>Roadmap to a Differentiated Digital Customer Experience - Half day session with a Gartner analyst to lay out a roadmap based on best practices.</t>
  </si>
  <si>
    <t>Discuss current situation. Strategize next steps for developing an enterprise change capability that will scale for the future.</t>
  </si>
  <si>
    <t>https://www.gartner.com/document/3879494</t>
  </si>
  <si>
    <t>Discuss how leaders make practical progress toward the ultimate goal of culture change – focusing on nearer-in goals and a more bottom-up approach.</t>
  </si>
  <si>
    <t>CEB: Understanding Organizational Climate vs. Culture</t>
  </si>
  <si>
    <t>https://www.gartner.com/document/3833771</t>
  </si>
  <si>
    <t>Introduction to five dimensions of culture that are effective starting points for culture change.</t>
  </si>
  <si>
    <t>The Culture PRISM: Introducing Five Dimensions That Shape Your Culture</t>
  </si>
  <si>
    <t xml:space="preserve">Develop a “change story” using the From/To/Because model to help employees navigate a change journey. </t>
  </si>
  <si>
    <t>Lunch &amp; learn Event replay: Discuss alternative methods to affect culture change – we suggest you “hack” your culture.</t>
  </si>
  <si>
    <t>https://www.gartner.com/webinar/3871695?ref=solrSearch&amp;srcId=1-5418502758</t>
  </si>
  <si>
    <t xml:space="preserve">Review key messages from the book Switch: "Direct the Rider, Motivate the Elephant, Shape the Path."  </t>
  </si>
  <si>
    <t>Use the Research Index to leverage change leadership practices, target the people side of change &amp; make culture an opportunity &amp; strength of the firm.</t>
  </si>
  <si>
    <t>Create a safe environment for colleagues and staff to express challenges by acknowledging frustration as a natural part of learning something new.</t>
  </si>
  <si>
    <t>https://www.gartner.com/document/code/341370</t>
  </si>
  <si>
    <t>Creating a culture that is ready for anything - In this session we explore 4 dials that can be used to to influence different attributes of culture.</t>
  </si>
  <si>
    <t>Download the free e-book "Culture in Action"  - A Leader’s Guide to Building an Organizational Culture That Performs.</t>
  </si>
  <si>
    <t xml:space="preserve">Lunch &amp; learn webinar. Goes deeper into the 5 dimensions of culture that are effective starting points for change. </t>
  </si>
  <si>
    <t>5 Starting Points for Culture Change</t>
  </si>
  <si>
    <t>https://www.gartner.com/webinar/3881784</t>
  </si>
  <si>
    <t xml:space="preserve">Review available Gartner resources to support an Application Rationalization exercise. Plan an initial application fitness and value assessment. 
</t>
  </si>
  <si>
    <t>How to Assess Your Current Application Portfolio Using Fitness and Value Review Processes</t>
  </si>
  <si>
    <t>https://www.gartner.com/document/3437717</t>
  </si>
  <si>
    <t xml:space="preserve">Review results of the fitness and value reviews. Discuss best practice approaches to prioritization. </t>
  </si>
  <si>
    <t>https://www.gartner.com/document/2701217</t>
  </si>
  <si>
    <t>Review supporting research around the need to consolidate business functions or to standardize business processes for effective rationalization.</t>
  </si>
  <si>
    <t>Develop detailed stakeholder communications plans tailored for each line of business.</t>
  </si>
  <si>
    <t>CEB: Rationalization Stakeholder Engagement Tools</t>
  </si>
  <si>
    <t>https://www.gartner.com/document/3768591</t>
  </si>
  <si>
    <t>Understand the pros and cons of application (and related business process) standardization for consideration in portfolio review and rationalization.</t>
  </si>
  <si>
    <t>Bimodal IT Is the Best Way to Deliver Application Rationalization. How rationalization solutions have changed dramatically in the light of bimodal.</t>
  </si>
  <si>
    <t>Discuss critical success factors for successful execution of application rationalization, e.g. business engagement and change management.</t>
  </si>
  <si>
    <t>Taking on Application Rationalization's 'Wicked Problem' of Getting Business Engagement</t>
  </si>
  <si>
    <t>https://www.gartner.com/document/3043617?ref=customproposal</t>
  </si>
  <si>
    <t>Series of calls to leverage Gartner analysts for support with vendor selection &amp; pricing review, for tools to enable ongoing portfolio optimization.</t>
  </si>
  <si>
    <t>Discuss foundational research to build a world-class EA capability an make your EA program highly impactful.</t>
  </si>
  <si>
    <t>Introduce the ITScore to determine the current-state EA maturity. Review ITScore results. Identify opportunities for improvements.</t>
  </si>
  <si>
    <t>Network with a CIO to learn the best practices in Enterprise architecture.</t>
  </si>
  <si>
    <t xml:space="preserve">Register to attend Symposium and CIO Forum. Participate in workshops, roundtables and analyst 1:1 sessions relevant to your specific needs.    </t>
  </si>
  <si>
    <t>Use the toolkit to understand the business scope and communicate the value and impact of EA.</t>
  </si>
  <si>
    <t>Toolkit: Determining Your Business Scope and Focus for Enterprise Architecture</t>
  </si>
  <si>
    <t>https://www.gartner.com/document/3884876?ref=cust_reco_sdemail</t>
  </si>
  <si>
    <t>Consult on the four practices in EA to build collaboration.</t>
  </si>
  <si>
    <t>Use 4 Enterprise Architecture Practices to Enable Digital Business Transformation</t>
  </si>
  <si>
    <t>https://www.gartner.com/document/3852272?ref=cust_reco_sdemail</t>
  </si>
  <si>
    <t>Discussion on creating a stage plan that will provide a structure to build a world-class EA capability.</t>
  </si>
  <si>
    <t>Stage Planning a Business-Outcome-Driven Enterprise Architecture</t>
  </si>
  <si>
    <t>https://www.gartner.com/document/code/321942</t>
  </si>
  <si>
    <t xml:space="preserve">Inquiry on selecting the right Enterprise Architecture tools. 
</t>
  </si>
  <si>
    <t>Magic Quadrant for Enterprise Architecture Tools</t>
  </si>
  <si>
    <t>https://www.gartner.com/document/3723436</t>
  </si>
  <si>
    <t>Lunch and learn webinar</t>
  </si>
  <si>
    <t>Review research helpful in the initial days of an Enterprise Architect.</t>
  </si>
  <si>
    <t>Consultation to evolve EA practices to dynamically reflect the changing nature of a massive business disruption.</t>
  </si>
  <si>
    <t>Massively Disruptive Events Require a Nonlinear Approach to Enterprise Architecture</t>
  </si>
  <si>
    <t>Discuss research to rethink and plan EA governance, assurance and review boards.</t>
  </si>
  <si>
    <t>Rethink EA Governance, Assurance and Review Boards in the Digital Business Era</t>
  </si>
  <si>
    <t>Establishing measurable criteria by which solutions can be judged as high (or low) quality.</t>
  </si>
  <si>
    <t>Assisted by our Executive Partner, assess your overall Data and Analytics capability maturity by Using Gartner's ITScore for Data and Analytics.</t>
  </si>
  <si>
    <t xml:space="preserve">Craft an Analytics and BI strategy that is in line with the vision and goals of the organization. </t>
  </si>
  <si>
    <t>https://www.gartner.com/document/code/343144</t>
  </si>
  <si>
    <t xml:space="preserve">Host a lunch and learn for the team - Symposium replay: </t>
  </si>
  <si>
    <t>Augmented Analytics Is the Next Disruption in Business Intelligence and Analytics</t>
  </si>
  <si>
    <t>https://www.gartnereventsondemand.com/session-video/SYM27/22b</t>
  </si>
  <si>
    <t xml:space="preserve">Review ITScore results. Evaluate current capabilities, establish areas that need improvements and chart out an action plan to advance capabilities.
</t>
  </si>
  <si>
    <t xml:space="preserve">Connect with a fellow CIO who is actively working on Analytics and BI strategy. 
</t>
  </si>
  <si>
    <t xml:space="preserve">Discuss the most optimal organizational model for Analytics and BI roadmap execution. </t>
  </si>
  <si>
    <t>Create a Centralized and Decentralized Organizational Model for Analytics</t>
  </si>
  <si>
    <t>https://www.gartner.com/document/3875403</t>
  </si>
  <si>
    <t>Review a curated collection of the best and most inspirational ideas and examples of analytics strategies.</t>
  </si>
  <si>
    <t>Toolkit: Best of ... Data and Analytics Strategies</t>
  </si>
  <si>
    <t>https://www.gartner.com/document/3868210</t>
  </si>
  <si>
    <t>Session on best practices in segmenting users and deploying corresponding analytics and BI tools, based on each segment's use cases and requirements</t>
  </si>
  <si>
    <t>Select the Right Analytics and Business Intelligence for the Right User and Use Case</t>
  </si>
  <si>
    <t>Review and establish Data and Analytics governance in line with the best practices in the industry.</t>
  </si>
  <si>
    <t>Toolkit: Keep Your Data and Analytics Governance Initiative Relevant to the Business</t>
  </si>
  <si>
    <t>https://www.gartner.com/document/3872914</t>
  </si>
  <si>
    <t>Review how distributed analytics teams are leading changes and reshaping IT’s role in data and analytics.</t>
  </si>
  <si>
    <t>CEB: Foster, Don’t Fight, Business-Led Analytics</t>
  </si>
  <si>
    <t>https://www.gartner.com/document/3836575</t>
  </si>
  <si>
    <t xml:space="preserve">Review progress and discuss how to improve Analytics and BI adoption in the organization. </t>
  </si>
  <si>
    <t>How to Accelerate Analytics Adoption When Business Intelligence Maturity Is Low</t>
  </si>
  <si>
    <t>https://www.gartner.com/document/3671218</t>
  </si>
  <si>
    <t>Session to create concrete, measurable metrics that link analytics and BI initiatives to information, business and stakeholder value.</t>
  </si>
  <si>
    <t>How to Enable Self-Service Analytics and Business Intelligence: Lessons From Gartner Award Finalists</t>
  </si>
  <si>
    <t>Assisted by your Executive Partner, assess your overall Data and Analytics capability maturity by Using Gartner's ITScore for Data and Analytics.</t>
  </si>
  <si>
    <t>Review ITScore results. Evaluate current capabilities, establish areas that need improvements and chart out an action plan to advance capabilities.</t>
  </si>
  <si>
    <t>Review a curated collection of the best practice examples of analytics strategies.</t>
  </si>
  <si>
    <t>Review and refresh your Data &amp; Analytics vision for the future. Leverage presentations for communications to leadership, peers and teams.</t>
  </si>
  <si>
    <t>Leadership Vision for 2019: Data and Analytics Leader</t>
  </si>
  <si>
    <t>https://www.gartner.com/document/3884502</t>
  </si>
  <si>
    <t>How to create concrete, measurable metrics that link analytics and BI initiatives to information, business and stakeholder value.</t>
  </si>
  <si>
    <t>Putting Data &amp; Analytics at the Heart of Your Digital Platform. How Data &amp; Analytics Drive Better Decision Making. How to determine what to invest in.</t>
  </si>
  <si>
    <t>Review the organizational structure to align for data and analytics roles that are fit for the future.</t>
  </si>
  <si>
    <t>Must-Have Roles for Data and Analytics, 2018</t>
  </si>
  <si>
    <t>https://www.gartner.com/document/3884464</t>
  </si>
  <si>
    <t>Focused on future leadership skills and competencies for the CIO.</t>
  </si>
  <si>
    <t xml:space="preserve"> CIO Mastery of Leadership, Culture and People Dynamics Primer for 2018</t>
  </si>
  <si>
    <t>https://www.gartner.com/document/code/348696</t>
  </si>
  <si>
    <t>Review CIO research on how to become a trusted advisor to the organization's senior leaders.</t>
  </si>
  <si>
    <t>The CIO's Trusted Advisor Playbook: Selling and Persuasion</t>
  </si>
  <si>
    <t>https://www.gartner.com/document/3706217</t>
  </si>
  <si>
    <t>Use the CEB process map as guidance in improving the planning process &amp; for communicating the IT strategic planning process to relevant stakeholders.</t>
  </si>
  <si>
    <t xml:space="preserve">IT Strategic Planning Process Map </t>
  </si>
  <si>
    <t>With Executive Partner - gain insight from content designed to provide CIOs with knowledge &amp; competencies they will call on throughout  their career.</t>
  </si>
  <si>
    <t>Module One: Vision, Strategy and Alignment</t>
  </si>
  <si>
    <t>https://www.gartner.com/explore/professional-development/leadership-tutorials#tab0</t>
  </si>
  <si>
    <t>Adapt your communication style to your audience, create compelling &amp; engaging presentations and increase the clarity and relevance of your content.</t>
  </si>
  <si>
    <t xml:space="preserve">CEB: Increasing Executive impact with key stakeholders </t>
  </si>
  <si>
    <t>Develop effective stakeholder management via three steps of stakeholder identification, segmentation and communication.</t>
  </si>
  <si>
    <t>Presenting Gartner's insights and advice on becoming a digital-era leader.</t>
  </si>
  <si>
    <t>Review Gartner's ESCAPE model embraces six steps to help CIOs grow into change leaders who can build sustainable digital environments.</t>
  </si>
  <si>
    <t>Introduce the Five Situational Leadership Types to your management team. Includes a self-assessment questionnaire to use with participants.
Toolkit</t>
  </si>
  <si>
    <t>Leverage scenario planning as a tool to effectively prepare effectively for uncertainty, risk and competitive pressure.</t>
  </si>
  <si>
    <t>Use Scenario Planning to Make Business and I&amp;T Strategies More Resilient in an Increasingly Volatile World</t>
  </si>
  <si>
    <t>https://www.gartner.com/document/3884517</t>
  </si>
  <si>
    <t>Switch from responding to management-led business requirements to initiating business requirements.</t>
  </si>
  <si>
    <t>CEB: Business Alignment Will Need to Be Redefined to Deliver Successful Digital Experiences</t>
  </si>
  <si>
    <t>https://www.gartner.com/document/3667617</t>
  </si>
  <si>
    <t xml:space="preserve"> Discuss to assess the cyber threats to the organization and also develop a strategic road-map to tackle these threats.</t>
  </si>
  <si>
    <t>Read foundational research :</t>
  </si>
  <si>
    <t xml:space="preserve">Special Report: Cybersecurity at the Speed of Digital Business </t>
  </si>
  <si>
    <t>https://www.gartner.com/document/3426427?ref=customproposal</t>
  </si>
  <si>
    <t>Leverage peer connect template to assess the cyberscurity maturity of the organization</t>
  </si>
  <si>
    <t>Peer Connect Template: Cybersecurity Assessment</t>
  </si>
  <si>
    <t>https://www.gartner.com/document/3837863?ref=customproposal</t>
  </si>
  <si>
    <t>Lunch and learn symposium replay :</t>
  </si>
  <si>
    <t>What Every CIO Needs to Know About the Business Value of IT, Technology Risk, and Cybersecurity</t>
  </si>
  <si>
    <t xml:space="preserve">Assess the current gap in the cyber-security. Align the plan to address these gaps in the cyber-security. </t>
  </si>
  <si>
    <t>Develop a Pragmatic Vision and Strategy for Digital Business Security</t>
  </si>
  <si>
    <t>https://www.gartner.com/document/3820265?ref=customproposal</t>
  </si>
  <si>
    <t>Read Research :</t>
  </si>
  <si>
    <t>Shift Cybersecurity Investment to Detection and Response</t>
  </si>
  <si>
    <t>https://www.gartner.com/document/3183622?ref=customproposal</t>
  </si>
  <si>
    <t>Network with a CIO who has implemented cybersecurity in his organization and has shown the impact made after security implementation</t>
  </si>
  <si>
    <t>Discuss with an analyst to develop a response mechanism in case of a cyberattack</t>
  </si>
  <si>
    <t>Discuss with Gartner Analyst to optimize your cybersecurity workforce by building a talent ecosystem in collaboration with cyber-communities</t>
  </si>
  <si>
    <t>Adapt Your Traditional Staffing Practices for Cybersecurity</t>
  </si>
  <si>
    <t>https://www.gartner.com/document/3566417?ref=customproposal</t>
  </si>
  <si>
    <t xml:space="preserve">Discuss with an analyst on the responsiveness of the organization with respect to the new identified cyber threats </t>
  </si>
  <si>
    <t>Assess any new requirement that would make the cybersecurity even more full proof</t>
  </si>
  <si>
    <t>Cybersecurity Redefined for the Digital Era</t>
  </si>
  <si>
    <t>https://www.gartner.com/document/3855711?ref=customproposal</t>
  </si>
  <si>
    <t>Consultation on current situation, complexities and way forward.</t>
  </si>
  <si>
    <t>Monthly Consultation</t>
  </si>
  <si>
    <t>Conduct a survey to also qualitatively analyze the state currently:</t>
  </si>
  <si>
    <t>Toolkit: Survey Your Workers on the State of Your Digital Workplace</t>
  </si>
  <si>
    <t>https://www.gartner.com/document/3432817?ref=customproposal</t>
  </si>
  <si>
    <t>Consult on key issues, goals and lay roadmap for digital workplace strategy:</t>
  </si>
  <si>
    <t>Toolkit: Strategic Roadmap for the Digital Workplace</t>
  </si>
  <si>
    <t>https://www.gartner.com/document/3173925?ref=customproposal</t>
  </si>
  <si>
    <t xml:space="preserve">Leverage  Gartner’s Digital Dexterity Index  to benchmark workers: </t>
  </si>
  <si>
    <t>Benchmark Worker Readiness for Digital Transformation Using the Digital Dexterity Index</t>
  </si>
  <si>
    <t>https://www.gartner.com/document/3886766?ref=customproposal</t>
  </si>
  <si>
    <t xml:space="preserve">Read foundational research: </t>
  </si>
  <si>
    <t>Digital Workplace Program Primer for 2018</t>
  </si>
  <si>
    <t>https://www.gartner.com/document/3844980?ref=customproposal</t>
  </si>
  <si>
    <t xml:space="preserve">Discuss technology trends and implementation maturity: </t>
  </si>
  <si>
    <t>Predicts 2018: Digital Workplace Technologies</t>
  </si>
  <si>
    <t>https://www.gartner.com/document/3836863?ref=customproposal</t>
  </si>
  <si>
    <t xml:space="preserve">Explore progressive vendors in the digital workplace landscape: </t>
  </si>
  <si>
    <t>Cool Vendors in Employee Engagement and Enablement in the Digital Workplace</t>
  </si>
  <si>
    <t>https://www.gartner.com/document/3889003?ref=customproposal</t>
  </si>
  <si>
    <t>Have an analyst briefing session on "Workshop: How to Lead a Digital Workforce Transformation
"</t>
  </si>
  <si>
    <t xml:space="preserve">Discuss how to align people, processes and IT within the digital workplace initiative: </t>
  </si>
  <si>
    <t>A Maturity Framework to Advance Digital Workplace Programs</t>
  </si>
  <si>
    <t>https://www.gartner.com/document/3859673?ref=customproposal</t>
  </si>
  <si>
    <t xml:space="preserve">Explore mobility initiative for an on-the-go workforce:  </t>
  </si>
  <si>
    <t>https://www.gartner.com/document/3885466?ref=customproposal</t>
  </si>
  <si>
    <t xml:space="preserve">Leverage toolkit as a template for selecting, tracking and communicating relevant metrics to the executive leadership and other stakeholders: </t>
  </si>
  <si>
    <t>Toolkit: A Metrics Framework to Guide Digital Workplace Program Success</t>
  </si>
  <si>
    <t>https://www.gartner.com/document/3859671?ref=customproposal</t>
  </si>
  <si>
    <t xml:space="preserve">Read forward looking research: </t>
  </si>
  <si>
    <t>Applying AI in the Digital Workplace</t>
  </si>
  <si>
    <t>https://www.gartner.com/document/3873363?ref=customproposal</t>
  </si>
  <si>
    <t xml:space="preserve">Analyst inquiry on the trends and predictions on Blockchain technology.
</t>
  </si>
  <si>
    <t>Top 10 Strategic Technology Trends for 2018: Blockchain</t>
  </si>
  <si>
    <t>http://www.gartner.com/document/3865400?ref=customproposal</t>
  </si>
  <si>
    <t>Predicts 2018: Top Predictions in Blockchain Business</t>
  </si>
  <si>
    <t>Discussion on possible disruptions and applications of Blockchain specific to Higher Education. Leverage Gartner report:</t>
  </si>
  <si>
    <t>https://www.gartner.com/document/3844465?ref=customproposal</t>
  </si>
  <si>
    <t>Review research to understand the core concept of blockchain and the historical context in which it is evolving</t>
  </si>
  <si>
    <t>http://www.gartner.com/document/3729117?ref=customproposal</t>
  </si>
  <si>
    <t xml:space="preserve">Workshop on the four types of blockchain business initiatives and evaluate which ones will match the strategic objectives
</t>
  </si>
  <si>
    <t>Pay Attention to These 4 Types of Blockchain Business Initiatives</t>
  </si>
  <si>
    <t>https://www.gartner.com/document/3868969?ref=customproposal</t>
  </si>
  <si>
    <t xml:space="preserve">Consult on market conditions for Blockchain and insight on how to create proof-of-concept initiatives. 
</t>
  </si>
  <si>
    <t>Blockchain Status 2018: Market Adoption Reality</t>
  </si>
  <si>
    <t>http://www.gartner.com/document/3869693?ref=customproposal</t>
  </si>
  <si>
    <t xml:space="preserve">Inquiry on scope of business transformation using Blockchain. 
</t>
  </si>
  <si>
    <t>Blockchain-Based Transformation: A Gartner Trend Insight Report</t>
  </si>
  <si>
    <t>https://www.gartner.com/document/3869696?ref=customproposal</t>
  </si>
  <si>
    <t xml:space="preserve">Lunch and learn webinar on blockchain potential and challenges:  </t>
  </si>
  <si>
    <t>Blockchain Potential and Pitfalls</t>
  </si>
  <si>
    <t>https://www.gartner.com/webinar/3878710?ref=solrSearch&amp;srcId=1-5418502758</t>
  </si>
  <si>
    <t>Peer connect with a Gartner member with experience in successfully executing Blockchain initiatives</t>
  </si>
  <si>
    <t xml:space="preserve">Review Peer conversations on:
</t>
  </si>
  <si>
    <t>https://www.gartner.com/search/peerconv/simple?typeaheadTermType=&amp;typeaheadTermId=&amp;searchType=151&amp;keywords=Blockchain&amp;qid=3377ce54042856407a84691c90ba26f7</t>
  </si>
  <si>
    <t xml:space="preserve">Discussion on scalability for Blockchain without disrupting critical processes.  </t>
  </si>
  <si>
    <t>The Future of Blockchain: 8 Scalability Hurdles to Enterprise Adoption</t>
  </si>
  <si>
    <t>http://www.gartner.com/document/3888983?ref=customproposal</t>
  </si>
  <si>
    <t xml:space="preserve">Explore the market for consultancy services to navigate the fast-evolving blockchain world.  </t>
  </si>
  <si>
    <t>Market Guide for Blockchain Consulting and Proof-of-Concept Development Services</t>
  </si>
  <si>
    <t>https://www.gartner.com/document/3868179?ref=customproposal</t>
  </si>
  <si>
    <t xml:space="preserve">Review research:  </t>
  </si>
  <si>
    <t>Cool Vendors in Blockchain Technology</t>
  </si>
  <si>
    <t>https://www.gartner.com/document/3889066?ref=customproposal</t>
  </si>
  <si>
    <t xml:space="preserve">The privacy risks in Blockchain and how to leverage Blockchain to address existing privacy challenges. 
</t>
  </si>
  <si>
    <t>5 Steps to Managing Privacy in the Blockchain</t>
  </si>
  <si>
    <t>https://www.gartner.com/document/3887780?ref=customproposal</t>
  </si>
  <si>
    <t>Workforce assessment - Gartner / Mercer compensation survey results (Americas).</t>
  </si>
  <si>
    <t>Research highlights - IT Key Metrics:</t>
  </si>
  <si>
    <t>Review initiatives. Plan next steps.</t>
  </si>
  <si>
    <t xml:space="preserve">Build CIO Leadership Forum Agenda. Schedule upcoming contract reviews. </t>
  </si>
  <si>
    <t xml:space="preserve">Research highlights - New Year Resolutions: </t>
  </si>
  <si>
    <t>https://www.gartner.com/search/research/simple?typeaheadTermType=&amp;typeaheadTermId=&amp;searchType=2&amp;keywords=title:%22CIO%20New%20Year's%20Resolutions%22&amp;qid=7cb52414148773cab91243de6812874a&amp;sortType=date</t>
  </si>
  <si>
    <t xml:space="preserve">Conduct annual strategy review. Preparing for an effective year. </t>
  </si>
  <si>
    <t xml:space="preserve">Discuss options for webinar/lunch and learn topics. </t>
  </si>
  <si>
    <t>Participate in CIO survey.</t>
  </si>
  <si>
    <t xml:space="preserve">Annual cost optimization review. </t>
  </si>
  <si>
    <t xml:space="preserve">Research highlights - Cool Vendors: </t>
  </si>
  <si>
    <t>Plan to attend a local networking event: Gain new insights to reduce risk or deliver new initiatives.</t>
  </si>
  <si>
    <t xml:space="preserve">Schedule upcoming contract reviews. </t>
  </si>
  <si>
    <t xml:space="preserve">Build Symposium agenda. </t>
  </si>
  <si>
    <t>Research highlights - Hype Cycles:</t>
  </si>
  <si>
    <t>Portal refresh - align Key Initiative tracks.</t>
  </si>
  <si>
    <t>Understand the drivers &amp; goals for project to product transformation. Discuss shifts required and plan next steps.</t>
  </si>
  <si>
    <t>From Projects to Products — Three Essential Actions for Every CIO Aiming to Transform Their Digital Organizations</t>
  </si>
  <si>
    <t xml:space="preserve">Review and discuss changes required to IT's capabilities, organization structure, skillset &amp; delivery models to facilitate transition to product. </t>
  </si>
  <si>
    <t>How to Establish a Product Management Practice to Drive Digital Business Success</t>
  </si>
  <si>
    <t>https://www.gartner.com/document/3410731</t>
  </si>
  <si>
    <t>Conduct a workshop to align key stakeholders on the vision &amp; roadmap for transition.</t>
  </si>
  <si>
    <t>Consult on changes required to organizational structure and operating model for the shift to a product-centric organization.</t>
  </si>
  <si>
    <t>Emerging Practices in Organizational Design for Digital Product Delivery Organizations</t>
  </si>
  <si>
    <t>https://www.gartner.com/document/3890702</t>
  </si>
  <si>
    <t xml:space="preserve">Discuss new product management roles and action plan on hiring talent to bridge the skill gap.
</t>
  </si>
  <si>
    <t>Hire and Develop Product Managers Who Fit the 3 Stages of the Product Life Cycle</t>
  </si>
  <si>
    <t>https://www.gartner.com/document/3888963</t>
  </si>
  <si>
    <t>Review research on the importance of taking a nuanced approach to a product-centric model</t>
  </si>
  <si>
    <t>Becoming Product-Centric Should Be an Evolution, Not a Top-Down Transformation</t>
  </si>
  <si>
    <t>https://www.gartner.com/document/3877669</t>
  </si>
  <si>
    <t>(*Optional) Session to introduce CIOs to product design methods/options and provide a fundamental roadmap to leveraging these techniques.</t>
  </si>
  <si>
    <t>Transform portfolios and governance processes to fit the transition to a product-centric model.</t>
  </si>
  <si>
    <t>Review best-practices on adopting an agile, product-centric delivery model.</t>
  </si>
  <si>
    <t>Move Away From Waterfall to Agile and Product-Centric Delivery Methods</t>
  </si>
  <si>
    <t>https://www.gartner.com/document/3890771</t>
  </si>
  <si>
    <t>Discuss how metrics for success vary for a product-centric model compared to a project-based model.</t>
  </si>
  <si>
    <t>Drive the Alignment of Projects, Products and Outcome Metrics to Business Goals</t>
  </si>
  <si>
    <t>https://www.gartner.com/document/3891491</t>
  </si>
  <si>
    <t>Review research on the importance of Product Management to Digital Business.</t>
  </si>
  <si>
    <t>Product Management Is Key to Digital Business Success</t>
  </si>
  <si>
    <t>https://www.gartner.com/document/3858665</t>
  </si>
  <si>
    <t>Review research on strengthening Product Management further to scale Digital Business.</t>
  </si>
  <si>
    <t>Strengthen Five Key Pillars of Product Management to Scale for Digital Business Success</t>
  </si>
  <si>
    <t>https://www.gartner.com/document/3873121</t>
  </si>
  <si>
    <t>Review progress and plan next steps.</t>
  </si>
  <si>
    <t xml:space="preserve">Register to attend Symposium and CIO Forum. Participate in workshops, roundtables and analyst 1:1 sessions relevant to your specific needs. 
</t>
  </si>
  <si>
    <t xml:space="preserve">Review and understand changes required to IT's capabilities, organization structure, skillset &amp; delivery models to facilitate transition to product. </t>
  </si>
  <si>
    <t>Review the impact of moving from projects to products on the IT operating model.</t>
  </si>
  <si>
    <t>CEB Research: Infographic: Core Attributes of Product Line Management</t>
  </si>
  <si>
    <t>https://www.gartner.com/document/3830151</t>
  </si>
  <si>
    <t>Conduct a workshop to align key stakeholders on the vision &amp; roadmap for Project to Product transition.</t>
  </si>
  <si>
    <t>Discuss new product management roles and action plan on hiring talent to bridge the skill gap.</t>
  </si>
  <si>
    <t xml:space="preserve">Review progress, discuss how metrics for success vary for a product-centric model compared to a project-based model. Plan next steps.
</t>
  </si>
  <si>
    <t xml:space="preserve">Review research on strengthening Product Management further to scale Digital Business.
</t>
  </si>
  <si>
    <t>Session to introduce CIOs to product design methods/options and provide a fundamental roadmap to leveraging these techniques.</t>
  </si>
  <si>
    <t xml:space="preserve">Transform portfolios and governance processes to fit the transition to a product-centric model. 
</t>
  </si>
  <si>
    <t>Discuss current state and future state vision. Understand blockchain possibilities to maximize success.</t>
  </si>
  <si>
    <t>Gartner Blockchain Spectrum and Evolution Technology Solutions</t>
  </si>
  <si>
    <t>https://www.gartner.com/document/3892183?ref=customproposal</t>
  </si>
  <si>
    <t>On the potential and pitfalls of blockchain technology. Identify areas where blockchain provides differentiated value.</t>
  </si>
  <si>
    <t>https://www.gartner.com/document/3827065?ref=customproposal</t>
  </si>
  <si>
    <t>Evaluate initiatives with best match to strategic goals.</t>
  </si>
  <si>
    <t>Recognize the differences, as well as the interdependencies between different industry initiatives.</t>
  </si>
  <si>
    <t>Hype Cycle for Blockchain Business, 2018</t>
  </si>
  <si>
    <t>https://www.gartner.com/document/3884146?ref=customproposal</t>
  </si>
  <si>
    <t>Create effective value proposition frameworks to manage business expectations.</t>
  </si>
  <si>
    <t>https://www.gartner.com/document/3869693?ref=customproposal</t>
  </si>
  <si>
    <t>Read research on changes required in the business models and processes.</t>
  </si>
  <si>
    <t>On communicating blockchain's potential and setting expectations.</t>
  </si>
  <si>
    <t>Blockchain in Digital Business: What the Board Needs to Know</t>
  </si>
  <si>
    <t>https://www.gartner.com/document/3882002?ref=customproposal</t>
  </si>
  <si>
    <t>Leverage models and frameworks to help make the right investments.</t>
  </si>
  <si>
    <t>Blockchain Technology Spectrum: A Gartner Theme Insight Report</t>
  </si>
  <si>
    <t>https://www.gartner.com/document/3891399?ref=customproposal</t>
  </si>
  <si>
    <t>Blockchain Revolution: Competing with the Internet of Value- session on implications for competitiveness, business strategy, and leadership.</t>
  </si>
  <si>
    <t>Evaluate the risks and preparedness for any blockchain-based project.</t>
  </si>
  <si>
    <t>Evaluating the Security Risks to Blockchain Ecosystems</t>
  </si>
  <si>
    <t>https://www.gartner.com/document/3869088?ref=customproposal</t>
  </si>
  <si>
    <t>Review framework that maps strategic business risks with operational and IT risks posed by blockchain initiatives.</t>
  </si>
  <si>
    <t>Manage the Digital Risks of Blockchain Initiatives</t>
  </si>
  <si>
    <t>https://www.gartner.com/document/3887689?ref=customproposal</t>
  </si>
  <si>
    <t>Discussion around handling challenges and assessing technical and operating model scalability factors.</t>
  </si>
  <si>
    <t>https://www.gartner.com/document/3888983?ref=customproposal</t>
  </si>
  <si>
    <t>Prioritize next set of initiatives involving blockchain technologies.</t>
  </si>
  <si>
    <t>Hype Cycle for Blockchain Technologies, 2018</t>
  </si>
  <si>
    <t>https://www.gartner.com/document/3883991?ref=customproposal</t>
  </si>
  <si>
    <t>Track progress, identify gaps and explore opportunities. Draft a plan for next steps.</t>
  </si>
  <si>
    <t>Discuss with our Executive Partner the current state and future state vision. Understand blockchain possibilities to maximize success.</t>
  </si>
  <si>
    <t>Understanding the Gartner Blockchain Spectrum and the Evolution Technology Solutions</t>
  </si>
  <si>
    <t>Engage with analysts on the potential and pitfalls of blockchain technology. Identify areas where blockchain provides differentiated value.</t>
  </si>
  <si>
    <t>Prioritize and evaluate initiatives with best match to strategic goals.</t>
  </si>
  <si>
    <t xml:space="preserve">Recognize the differences, as well as the interdependencies between different industry initiatives. </t>
  </si>
  <si>
    <t>Analyst calls on communicating blockchain's potential and setting expectations.</t>
  </si>
  <si>
    <t xml:space="preserve">Blockchain Revolution: Competing with the Internet of Value- session on implications for competitiveness, business strategy, and leadership. </t>
  </si>
  <si>
    <t>Create effective value proposition frameworks for existing problem statements and articulate how blockchain may solve specific problems.</t>
  </si>
  <si>
    <t>Consult our EP on the framework that maps strategic business risks with operational and IT risks posed by blockchain initiatives</t>
  </si>
  <si>
    <t xml:space="preserve">Evaluate the risks and preparedness for any blockchain-based project. </t>
  </si>
  <si>
    <t>For insights on cloud, leverage:</t>
  </si>
  <si>
    <t>https://www.gartner.com/document/3869366?ref=TypeAheadSearch&amp;qid=847dcc5c9aeabcf8edecf4c</t>
  </si>
  <si>
    <t>Review workstream outputs and provide feedback on solidifying requirements documents</t>
  </si>
  <si>
    <t>Attend CISO Huddle and discuss with specialists in network security</t>
  </si>
  <si>
    <t>For insight on security technologies, leverage:</t>
  </si>
  <si>
    <t>Magic Quadrant for Secure Web Gateways</t>
  </si>
  <si>
    <t>https://www.gartner.com/document/3738039?ref=solrAll&amp;refval=201781064&amp;qid=40f96fd216c7375f96f73fc1aae6708a</t>
  </si>
  <si>
    <t>On-site or webex session to review requirements against business and technological goals and objectives and arrive at consensus</t>
  </si>
  <si>
    <t>Outcomes: Clear strategy and model identified with commensurate requirements to meet business and technological goals</t>
  </si>
  <si>
    <t>Review all work artifacts created to date and provide feedback</t>
  </si>
  <si>
    <t>Attend Gartner EITL Spring Peer Forum 2019 and talk to your peers on best practices in network security</t>
  </si>
  <si>
    <t>On-site or webex session to take requirements and start to model approaches, including design and architecture, for effective network security</t>
  </si>
  <si>
    <t>Review network security strategy and design documents created and provide feedback.  Offer analyst review</t>
  </si>
  <si>
    <t>Attend Gartner Security &amp; Risk Management Summit 2019 and meet with Analysts, Vendors, and Peers who specialize in network security</t>
  </si>
  <si>
    <t>For insight into best practice network design, leverage:</t>
  </si>
  <si>
    <t>Emerging Technology Analysis: Intent-Based Network Design and Operation</t>
  </si>
  <si>
    <t>https://www.gartner.com/document/3508218?ref=TypeAheadSearch&amp;qid=bdfd1a6c4ff0d25b4cba0c9aa</t>
  </si>
  <si>
    <t>Discuss with Gartner Analyst on network and gateway security strategies and design, and listen to any alternatives or other suggestions</t>
  </si>
  <si>
    <t>For insight into best practice on presenting, leverage:</t>
  </si>
  <si>
    <t>https://www.gartner.com/document/3092222?ref=TypeAheadSearch&amp;qid=d145d335cf0b9fa728a1e</t>
  </si>
  <si>
    <t>Finalize network and gateway security strategies, approaches and design. Work on presentation and implementation of next steps</t>
  </si>
  <si>
    <t>OUTCOMES – Solid strategy, approach and design to network and gateway security built by a cross functional team</t>
  </si>
  <si>
    <t>Month</t>
  </si>
  <si>
    <t>Select Month</t>
  </si>
  <si>
    <t>Select Proposal Type</t>
  </si>
  <si>
    <t>Roadmap moving ahead</t>
  </si>
  <si>
    <t>Discuss companies current capabilities and how to prepare going forward.</t>
  </si>
  <si>
    <t>Research</t>
  </si>
  <si>
    <t>:  Building and Maturing a Vendor Management Capability Primer for 2018</t>
  </si>
  <si>
    <t>https://www.gartner.com/document/3846870</t>
  </si>
  <si>
    <t>ITScore for Vendor Management</t>
  </si>
  <si>
    <t>https://www.gartner.com/document/3867172</t>
  </si>
  <si>
    <t>Review results of ITScore with analyst to understand implications and set goals for improvement</t>
  </si>
  <si>
    <t xml:space="preserve"> Work with Leadership Partner to define a 12-month action plan using Gartner's M-A-T-U-R-E methodology and the calculated ITScore.</t>
  </si>
  <si>
    <t>Gartner's M-A-T-U-R-E methodology and the calculated ITScore.</t>
  </si>
  <si>
    <t>OUTCOMES – LP to validate</t>
  </si>
  <si>
    <t>An Action Plan for Maturing Vendor Management to a Formal Discipline</t>
  </si>
  <si>
    <t>Attend EITL Gartner Spring Peer Forum</t>
  </si>
  <si>
    <t xml:space="preserve"> Leverage Authority to Determine the Proper Reporting and Organizational Structure for Technology Vendor Management</t>
  </si>
  <si>
    <t>https://www.gartner.com/document/3874296?ref=solrAll&amp;refval=203895112</t>
  </si>
  <si>
    <t>Attend the EITL Spring Peer Form (Apr. 23 to 25 in Orlando, FL)</t>
  </si>
  <si>
    <t>Collaborate to review, build or update VMO Charter, Mission and RACI and form VMO Steering Committee</t>
  </si>
  <si>
    <t>VMO Playbook Template Bank in Gartner Peer Connect</t>
  </si>
  <si>
    <t>https://community.gartner.com/t5/EITL-Sourcing-and-Vendor/VMO-Playbook-Template-Bank/gpm-p/57997</t>
  </si>
  <si>
    <t>Examine current team capabilities and propose changes to structure, skills or individuals</t>
  </si>
  <si>
    <t>OUTCOMES - LP to validate</t>
  </si>
  <si>
    <t>Leverage Authority to Determine the Proper Reporting and Organizational Structure for Technology Vendor Management</t>
  </si>
  <si>
    <t>https://www.gartner.com/document/3874296</t>
  </si>
  <si>
    <t xml:space="preserve"> Create value statement to Steering Committee to gain approval for VMO path forward.</t>
  </si>
  <si>
    <t>IT Sourcing, Procurement, Vendor &amp; Asset Management Summit (Sept. 5 to 7 in Orland, FL)</t>
  </si>
  <si>
    <t>Improve Vendor Performance Through Enhanced Dashboards and Scorecards</t>
  </si>
  <si>
    <t>https://www.gartner.com/document/3098719</t>
  </si>
  <si>
    <t>Strategic Vendor Management Requires a Formal Relationship, Risk and Performance Review Process</t>
  </si>
  <si>
    <t>https://www.gartner.com/document/3380736</t>
  </si>
  <si>
    <t>Build messaging to key stakeholders on VMO value; identify five vendors with which to pilot scorecards</t>
  </si>
  <si>
    <t>Discuss scorecard and performance reviews with analyst</t>
  </si>
  <si>
    <t>Research on Vendor Scorecard and IT Vendor Assessment Scorecard Builder</t>
  </si>
  <si>
    <t>Attend the Gartner Symposium/Itxpo (Oct. 14 to 18 in Orlando, FL) and attend the Fall EITL Peer Forum (Nov. 14 to 16 in San Diego, CA)</t>
  </si>
  <si>
    <t>Review scorecard results and process; develop and implement approach to vendor feedback</t>
  </si>
  <si>
    <t>https://www.gartner.com/document/3816567</t>
  </si>
  <si>
    <t xml:space="preserve"> Discuss various approaches to segmentation with peers to confirm approach or identify new ideas</t>
  </si>
  <si>
    <t>https://www.gartner.com/document/3816567?ref=solrAll&amp;refval=203895081&amp;qid=7a9f962510ba307982d3fc13822663b2</t>
  </si>
  <si>
    <t xml:space="preserve"> Discuss vendor segmentation with analyst</t>
  </si>
  <si>
    <t xml:space="preserve"> Form structure and process to segment vendors into well-defined, meaningful segments</t>
  </si>
  <si>
    <t>Attend monthly I&amp;O SIG</t>
  </si>
  <si>
    <t>LP call to understand digital transformation in the client context. Establish cadence, timeframes, critical outcome success factors</t>
  </si>
  <si>
    <t>Refer to foundational Research material</t>
  </si>
  <si>
    <t>https://www.gartner.com/document/3877465?ref=customproposal</t>
  </si>
  <si>
    <t>Attend Gartner Symposium/ITxpo</t>
  </si>
  <si>
    <t xml:space="preserve">Review Research for identifying which type of strategy is best-suited to your initiative — one based on experiments, options or choices </t>
  </si>
  <si>
    <t xml:space="preserve">Master Four Types of Strategy to Perfect Your Digital Transformation </t>
  </si>
  <si>
    <t>https://www.gartner.com/document/3678517?ref=customproposal</t>
  </si>
  <si>
    <t>Attend EITL Fall Peer Forum</t>
  </si>
  <si>
    <t>Consult with analyst on digital business opportunities &amp; building a transformation roadmap</t>
  </si>
  <si>
    <t xml:space="preserve">Outcomes - LP to validate </t>
  </si>
  <si>
    <t xml:space="preserve">Attend Gartner IT Infrastructure, Operations &amp; Cloud Strategies Conference </t>
  </si>
  <si>
    <t>Consultation on designing a comprehensive enterprise-agile transformation roadmap traversing culture, data and technology.</t>
  </si>
  <si>
    <t xml:space="preserve">Review Research to determine your enterprise's mix of digital business optimization and transformation </t>
  </si>
  <si>
    <t xml:space="preserve"> Digital Business Ambition: Transform or Optimize? </t>
  </si>
  <si>
    <t>https://www.gartner.com/document/3753470?ref=customproposal</t>
  </si>
  <si>
    <t>Meet with a peer member regarding</t>
  </si>
  <si>
    <t>Review Research to use internal and external hackathons as a key element of ongoing business delivery and digital transformation</t>
  </si>
  <si>
    <t xml:space="preserve">Use Ongoing Hackathons to Accelerate Digital Transformation </t>
  </si>
  <si>
    <t>https://www.gartner.com/document/3433417?ref=customproposal</t>
  </si>
  <si>
    <t xml:space="preserve">Analyst Inquiry to define key success factors to accelerate digital transformation </t>
  </si>
  <si>
    <t xml:space="preserve"> Patrick Meehan</t>
  </si>
  <si>
    <t>https://www.gartner.com/analyst/10919</t>
  </si>
  <si>
    <t xml:space="preserve">Connect with a peer member regarding </t>
  </si>
  <si>
    <t>https://community.gartner.com/gartner/plugins/common/feature/saml/doauth/post?idp=gartner.com&amp;login=true&amp;TARGET=https%3A%2F%2Fcommunity.gartner.com%2Ft5%2FEnterprise-Architecture-and-BPM%2FDigital-Twin-of-an-Organization%2Fm-p%2F75408%2Fthread-id%2F2732#M2732</t>
  </si>
  <si>
    <t xml:space="preserve">Define ways to customize employee experience </t>
  </si>
  <si>
    <t xml:space="preserve">Discuss ways to nurture a digital culture for becoming a digital first organisation </t>
  </si>
  <si>
    <t>Attend EITL Spring Peer Forum</t>
  </si>
  <si>
    <t>Refer to Research to understand cost estimation before specific digital strategy is deployed</t>
  </si>
  <si>
    <t>Creating a First-Draft, Rough Cost Estimate for a Digital Strategy</t>
  </si>
  <si>
    <t>https://www.gartner.com/document/3615128?ref=customproposal</t>
  </si>
  <si>
    <t>Review Research to understand how to apply bimodal in digital transformation journey</t>
  </si>
  <si>
    <t xml:space="preserve">Bimodal Simplifies and Focuses Digital Transformation </t>
  </si>
  <si>
    <t>Outcomes - LP to validate</t>
  </si>
  <si>
    <t>Attend Spring 2018 Infrastructure &amp; Operations Peer Forum on April 23- 25th in Orlando, Florida</t>
  </si>
  <si>
    <t>Consultation on building out IT Digital Business Technology Platforms</t>
  </si>
  <si>
    <t>Review Research and evolve current IT landscape into a digital business technology platform</t>
  </si>
  <si>
    <t>https://www.gartner.com/document/3810972?ref=customproposal</t>
  </si>
  <si>
    <t xml:space="preserve">Collaborate with a peer member regarding </t>
  </si>
  <si>
    <t>Successfully Transforming an IT Infrastructure Team from Budget Eater to Business Driven, Value Provider Team</t>
  </si>
  <si>
    <t>https://community.gartner.com/t5/Case-Studies/Successfully-Transforming-an-IT-Infrastructure-Team-from-Budget/ta-p/62737</t>
  </si>
  <si>
    <t>Refer to Research and develop metrics and set goals that lay out the digital business journey and sharpen expected business outcomes</t>
  </si>
  <si>
    <t>https://www.gartner.com/document/3803509?ref=customproposal</t>
  </si>
  <si>
    <t>LP call to discuss process optimization and future scope</t>
  </si>
  <si>
    <t>Peer network for sharing the best practices on identifying new digital capabilities that deliver optimization but also enable digital transformation</t>
  </si>
  <si>
    <t>Use Research to close the strategy-to-execution loop by connecting the business operating model with real-life data</t>
  </si>
  <si>
    <t xml:space="preserve">Create a Digital Twin of Your Organization to Optimize Your Digital Business Transformation Program </t>
  </si>
  <si>
    <t>https://www.gartner.com/document/3761664?ref=customproposal</t>
  </si>
  <si>
    <t xml:space="preserve">LP to validate </t>
  </si>
  <si>
    <t>Review the entire engagement and address future state and other critical priorities</t>
  </si>
  <si>
    <t>Service Kickoff call to draft an action plan, and agree on engagements steps. Establish cadence, timeframes and critical outcome success factors</t>
  </si>
  <si>
    <t xml:space="preserve">Assess current levels of customer experience and customer management 
</t>
  </si>
  <si>
    <t>https://www.gartner.com/document/3748973?ref=customproposal</t>
  </si>
  <si>
    <t>Attend Gartner Symposium/ ITxpo to redefine strategies</t>
  </si>
  <si>
    <t xml:space="preserve">Start with foundational research on customer experience management 
</t>
  </si>
  <si>
    <t>Customer Relationship Management and Customer Experience Primer for 2018</t>
  </si>
  <si>
    <t>https://www.gartner.com/document/3846468?ref=customproposal</t>
  </si>
  <si>
    <t>The Definition of Customer Experience Management</t>
  </si>
  <si>
    <t>https://www.gartner.com/document/1120012?ref=customproposal</t>
  </si>
  <si>
    <t xml:space="preserve">Set goal levels to achieve in Customer Experience
</t>
  </si>
  <si>
    <t>Attend Gartner IT Infrastructure, Operations &amp; Cloud Strategies Conference</t>
  </si>
  <si>
    <t xml:space="preserve">LP Call to prepare a digital customer experience strategy
</t>
  </si>
  <si>
    <t>Review research to translate habits of customer centricity into a new set of improved actions to support CRM and CX strategies.</t>
  </si>
  <si>
    <t>https://www.gartner.com/document/3705117?ref=customproposal</t>
  </si>
  <si>
    <t xml:space="preserve">View research to learn about other types of CX project that you might want to implement
</t>
  </si>
  <si>
    <t>Seven Types of Customer Experience Project</t>
  </si>
  <si>
    <t xml:space="preserve">Design quality framework to capture customer feedback in real time </t>
  </si>
  <si>
    <t>Leaders should learn to incorporate MDM discipline into the overall CRM and CX strategy</t>
  </si>
  <si>
    <t>MDM Is Critical to CRM and Customer Experience</t>
  </si>
  <si>
    <t>https://www.gartner.com/document/3639717?ref=customproposal</t>
  </si>
  <si>
    <t xml:space="preserve">Peer Network with a client to benchmark customer experience process in industry
</t>
  </si>
  <si>
    <t>Connect with analyst to understand how to make customer service and support processes key differentiators.</t>
  </si>
  <si>
    <t>Discuss tools and technologies to enhance customer experience</t>
  </si>
  <si>
    <t xml:space="preserve">Leverage research to implement analytics to deliver better Customer experience  </t>
  </si>
  <si>
    <t>Use Gartner's Customer Analytics Maturity Model to Create Better Customer Experiences</t>
  </si>
  <si>
    <t>https://www.gartner.com/document/3863769?ref=customproposal</t>
  </si>
  <si>
    <t>How to Drive Value From Customer Experience Analytics</t>
  </si>
  <si>
    <t>https://www.gartner.com/document/3874597?ref=customproposal</t>
  </si>
  <si>
    <t xml:space="preserve">Drive increased investments in customer analytics or risk falling behind. </t>
  </si>
  <si>
    <t xml:space="preserve">Leverage research to know about vendors in the market and their capabilities
</t>
  </si>
  <si>
    <t>Magic Quadrant for CRM and Customer Experience Implementation Services, Worldwide</t>
  </si>
  <si>
    <t>https://www.gartner.com/document/3843472?ref=customproposal</t>
  </si>
  <si>
    <t>Critical Capabilities for CRM and Customer Experience Implementation Services, Worldwide</t>
  </si>
  <si>
    <t>https://www.gartner.com/document/3878910?ref=customproposal</t>
  </si>
  <si>
    <t>Discuss framework for continuous quality improvement</t>
  </si>
  <si>
    <t xml:space="preserve">Engage with Analyst to build a hierarchical dashboard of customer experience metrics
</t>
  </si>
  <si>
    <t xml:space="preserve">Understand key metrics to measure and manage Customer Experience 
</t>
  </si>
  <si>
    <t>How to Manage Customer Experience Metrics</t>
  </si>
  <si>
    <t xml:space="preserve">Enhance customer experience using personalization
</t>
  </si>
  <si>
    <t>Use Personalization to Enrich Customer Experience and Drive Revenue</t>
  </si>
  <si>
    <t>https://www.gartner.com/document/3839665?ref=customproposal</t>
  </si>
  <si>
    <t>Peer network with client for sharing the best practices on applying best practices to build a better customer experience</t>
  </si>
  <si>
    <t>Track the benefits of having an excellent CX</t>
  </si>
  <si>
    <t>Realizing the Benefits of Superior Customer Experience: A Gartner Trend Insight Report</t>
  </si>
  <si>
    <t>Leverage research to keep up with the future trends in the field of customer experience</t>
  </si>
  <si>
    <t>How to Use AI to Create the Customer Experience of the Future</t>
  </si>
  <si>
    <t>https://www.gartner.com/document/3870029?ref=customproposal</t>
  </si>
  <si>
    <t>The Internet of Things Will Improve the Customer Experience</t>
  </si>
  <si>
    <t>https://www.gartner.com/document/3688837?ref=customproposal</t>
  </si>
  <si>
    <t>Virtual Reality and Augmented Reality: Using Immersive Technologies for Digital Transformation, Customer Experience and Innovation</t>
  </si>
  <si>
    <t>https://www.gartner.com/document/3881066?ref=customproposal</t>
  </si>
  <si>
    <t xml:space="preserve">Attend monthly I&amp;O SIG </t>
  </si>
  <si>
    <t>LP call  to draft an action plan, and agree on engagements steps. Establish cadence, timeframes and critical outcome success factors</t>
  </si>
  <si>
    <t>Review to understand how to optimize the design and orchestration of the IT organization</t>
  </si>
  <si>
    <t xml:space="preserve">The Built-to-Purpose IT Organization </t>
  </si>
  <si>
    <t>https://www.gartner.com/document/3295117?ref=customproposal</t>
  </si>
  <si>
    <t>Are your technical architects part of Enterprise Architecture or Infrastructure team?</t>
  </si>
  <si>
    <t>https://community.gartner.com/t/are-your-technical-architects-part-of-enterprise-architecture-or-infrastructure-team/7251</t>
  </si>
  <si>
    <t>Engage with analyst to share your vision on your Org Design/Service Delivery model. Gain insight on enhancing and maturing I&amp;O org</t>
  </si>
  <si>
    <t>Outcomes - LP to Validate</t>
  </si>
  <si>
    <t>Strategies to ensure that the structural arrangement of IT relates to the assets that need to be optimized with typical options being technology</t>
  </si>
  <si>
    <t>Understand the difference in operating models for designing a digital business</t>
  </si>
  <si>
    <t>Organizing for Success - No IT structure universally applies, but a structure correct at a given time exists for each enterprise.</t>
  </si>
  <si>
    <t xml:space="preserve">Review Research and identify the individual resources and skills required to start building a high-performing IT organization  </t>
  </si>
  <si>
    <t xml:space="preserve">Use IT Capability Modeling to Build a High-Performing IT Organization </t>
  </si>
  <si>
    <t>https://www.gartner.com/document/2925717?ref=customproposal</t>
  </si>
  <si>
    <t xml:space="preserve">Attend EITL Gartner IT Infrastructure, Operations &amp; Cloud Strategies Conference in Las Vegas (3rd to 6th December)
</t>
  </si>
  <si>
    <t>Consultation with the LP to discuss current state assessment, identify blockers and discuss next steps</t>
  </si>
  <si>
    <t xml:space="preserve">Refer to Research for appropriate orchestrating principle behind IT organizational design 
</t>
  </si>
  <si>
    <t>Six Steps to Process-Based IT Organizational Design</t>
  </si>
  <si>
    <t>https://www.gartner.com/document/497149?ref=customproposal</t>
  </si>
  <si>
    <t>Review Investing in Transition Planning Will Maximize Success for Managed Services Outsourcing Deals to understand the importance of change management</t>
  </si>
  <si>
    <t xml:space="preserve">Connect with analyst for a discussion on Service Delivery Models </t>
  </si>
  <si>
    <t xml:space="preserve">Refer to Research on applying tactics of consumerization to the IT fabric, so as to make employees more agile and engaged
</t>
  </si>
  <si>
    <t>Elevate the Employee Experience With Consumer-Oriented IT Service Delivery</t>
  </si>
  <si>
    <t>https://www.gartner.com/document/3278718?ref=customproposal</t>
  </si>
  <si>
    <t>Call to dicuss progress and blockers</t>
  </si>
  <si>
    <t xml:space="preserve">Create messaging that elevates the business value of I&amp;O conversation.
</t>
  </si>
  <si>
    <t>Map Your I&amp;O Business Value Story to Priorities That Matter</t>
  </si>
  <si>
    <t>https://www.gartner.com/document/3865390?ref=customproposal</t>
  </si>
  <si>
    <t xml:space="preserve">Create metrics that map to business leaders' priorities
</t>
  </si>
  <si>
    <t>How to Establish I&amp;O Metrics That Matter to Business Leaders</t>
  </si>
  <si>
    <t>https://www.gartner.com/document/3866868?ref=ggrec&amp;refval=3865390</t>
  </si>
  <si>
    <t>Meet with a peer member regarding Redesign the IT Operating Model to Accelerate Digital Business</t>
  </si>
  <si>
    <t>Peer network on organization planning, including the definition and communication of new roles and responsibilities needed during and after transition</t>
  </si>
  <si>
    <t>Call - Review and Plan</t>
  </si>
  <si>
    <t>Review the entire engagement, understand future state and critical priorities</t>
  </si>
  <si>
    <t xml:space="preserve">Collaborate with an analyst on taking relevant steps for building I&amp;O Organization of the future
</t>
  </si>
  <si>
    <t xml:space="preserve">LP call to discuss upcoming trends and technologies and stay updated </t>
  </si>
  <si>
    <t xml:space="preserve">Meet with a peer member regarding 
</t>
  </si>
  <si>
    <t>Microservices : Myth or Magic?</t>
  </si>
  <si>
    <t>https://community.gartner.com/t/microservices-myth-or-magic/12861/1</t>
  </si>
  <si>
    <t>Utilize the peer forums to meet with a Peer member regarding Redesign the IT Operating Model to Accelerate Digital Business</t>
  </si>
  <si>
    <t>LP call to draft an action plan, and agree on engagements steps. Establish cadence, timeframes and critical outcome success factors</t>
  </si>
  <si>
    <t xml:space="preserve">Start with research to elevate your VMO from defined stage to matured stage </t>
  </si>
  <si>
    <t xml:space="preserve">Evolve Technology Vendor Management From a Disciplined Program to a Strategic Business Function </t>
  </si>
  <si>
    <t>https://www.gartner.com/document/3745721</t>
  </si>
  <si>
    <t xml:space="preserve">Engage with analyst on assessment of current VMO and strategize to mature it  </t>
  </si>
  <si>
    <t>Use this slide deck in your planning for 2018 and in your presentations to your leadership, peers and teams</t>
  </si>
  <si>
    <t>Leadership Vision for 2018: Sourcing and Vendor Management Leader</t>
  </si>
  <si>
    <t>https://www.gartner.com/document/3813765</t>
  </si>
  <si>
    <t>Outcomes: &lt;LP to validate&gt;</t>
  </si>
  <si>
    <t>Consultation call on engagement plan for the quarter</t>
  </si>
  <si>
    <t>Create your own roadmap for VMO by reading research</t>
  </si>
  <si>
    <t>Gartner's M-A-T-U-R-E methodology and the calculated ITScore</t>
  </si>
  <si>
    <t>Leverage research to develop a consistent model that improves and advances technology vendor management</t>
  </si>
  <si>
    <t>Building and Maturing a Vendor Management Capability Primer for 2018</t>
  </si>
  <si>
    <t xml:space="preserve">Attend Gartner IT Sourcing, Procurement, Vendor &amp; Asset Management Summit </t>
  </si>
  <si>
    <t>Develop a three- five year outlook and guidelines to advance this discipline and achieve business goals</t>
  </si>
  <si>
    <t>2017 Strategic Roadmap for Vendor Management</t>
  </si>
  <si>
    <t>Attend EITL Gartner Fall Peer Forum</t>
  </si>
  <si>
    <t>LP call to discuss importance of Performance Management and how to proceed with collection of data and developing a score card and dashboard</t>
  </si>
  <si>
    <t>To fill the critical gaps in your vendor management, leverage</t>
  </si>
  <si>
    <t xml:space="preserve">An Action Plan for Maturing Vendor Management to a Formal Disciplined Program </t>
  </si>
  <si>
    <t>Adopt new measures and methods to optimize vendor performance in "fast-track" IT initiatives</t>
  </si>
  <si>
    <t>IT Vendor Performance Management Demands New Methods to Deliver Speed and Agility</t>
  </si>
  <si>
    <t>https://www.gartner.com/document/code/299326</t>
  </si>
  <si>
    <t>Read research to advance the delivery capabilities of your technology vendor management discipline</t>
  </si>
  <si>
    <t xml:space="preserve">Engage with analyst to review Scorecards and dashboards </t>
  </si>
  <si>
    <t xml:space="preserve">Outcomes: &lt;LP to validate&gt; </t>
  </si>
  <si>
    <t>Consultation calls about engagement plan for the quarter</t>
  </si>
  <si>
    <t xml:space="preserve">Identify your critical vendors using </t>
  </si>
  <si>
    <t>Peer network with client for sharing the best practices on  establishing IT vendor management governance and capability maturity</t>
  </si>
  <si>
    <t>Review research to develop timely and relevant vendor performance scorecards</t>
  </si>
  <si>
    <t xml:space="preserve">Leverage Disciplined Vendor Scorecard Design, Delivery and Analysis to Drive Continuous Improvement  </t>
  </si>
  <si>
    <t xml:space="preserve"> Review the entire engagement and address future state and other critical priorities</t>
  </si>
  <si>
    <t>Engage with Analyst to review Vendor Risk Management framework</t>
  </si>
  <si>
    <t>Use this to develop KPIs and performance metrics that extend beyond cost and align with broader strategic and operational goals of the enterprise</t>
  </si>
  <si>
    <t>https://www.gartner.com/document/3836570?ref=customproposal</t>
  </si>
  <si>
    <t>LP call to draft an action plan, and agree on engagements steps. Establish cadence, timeframes and critical outcome success factors.</t>
  </si>
  <si>
    <t>Review Research to achieve specific, measurable and transformative business outcomes through implementation of an AI strategy</t>
  </si>
  <si>
    <t xml:space="preserve">Craft an Artificial Intelligence Strategy: A Gartner Trend Insight Report </t>
  </si>
  <si>
    <t>https://www.gartner.com/document/3847266?ref=customproposal</t>
  </si>
  <si>
    <t>Before commencing AI projects, understand the vertical and horizontal use cases using the following documents</t>
  </si>
  <si>
    <t>https://www.gartner.com/document/3754164?ref=customproposal</t>
  </si>
  <si>
    <t>Engage with an analyst on understanding the diverse ways and purposes for which AI technologies can enter enterprises</t>
  </si>
  <si>
    <t>Outcome: LP to Validate</t>
  </si>
  <si>
    <t>Consultation on how to deliver business value from Artificial Intelligence</t>
  </si>
  <si>
    <t>Review foundational Research material to understand how to employ AI and deliver critical business outcomes even with scarce resources</t>
  </si>
  <si>
    <t>Artificial Intelligence Primer for 2018</t>
  </si>
  <si>
    <t>http://www.gartner.com/document/3845465?ref=customproposal</t>
  </si>
  <si>
    <t>Refer to Research for a step by step approach on modifying IT operations tasks and processes</t>
  </si>
  <si>
    <t>12 Steps to Artificial Intelligence for IT Operations Excellence</t>
  </si>
  <si>
    <t>https://www.gartner.com/document/3787367?ref=customproposal</t>
  </si>
  <si>
    <t>Attend Gartner IT Infrastructure, Operations Management &amp; Data Center Summit in Las Vegas between 26-27 November 2018</t>
  </si>
  <si>
    <t>Connect with analyst on how mature is AI and how should that impact enterprise strategies</t>
  </si>
  <si>
    <t>LP call to discuss current state assessment and suggest remediation plan</t>
  </si>
  <si>
    <t>Consultation on best-in-class solutions with proven on-task performance and well-understood limitations and risks.</t>
  </si>
  <si>
    <t>Use below Research to understand goodness of fit to business needs, not supplier consolidation</t>
  </si>
  <si>
    <t xml:space="preserve">Ten Ways AI Will Appear in Your Enterprise — No One Source Can Meet All Your Business Needs </t>
  </si>
  <si>
    <t>https://www.gartner.com/document/3785163?ref=customproposal</t>
  </si>
  <si>
    <t>Artificial Intelligence Reality Check</t>
  </si>
  <si>
    <t>https://community.gartner.com/t5/The-Think-Tank/Artificial-Intelligence-Reality-Check/m-p/80534#M2839</t>
  </si>
  <si>
    <t>LP call to discuss current state assessment, identify blockers and next steps</t>
  </si>
  <si>
    <t>Review Research to understand how I&amp;O leaders should begin the deployment of AIOps platforms to enhance performance monitoring</t>
  </si>
  <si>
    <t>Market Guide for AIOps Platforms</t>
  </si>
  <si>
    <t>https://www.gartner.com/document/3772124?ref=customproposal</t>
  </si>
  <si>
    <t>Engage with an analyst on clearing out dangerous AI myths and delivering business value for digital business</t>
  </si>
  <si>
    <t>Refer to Research on how to apply AI for collaboration, content, human resources, smart workplaces, help desk, knowledge management</t>
  </si>
  <si>
    <t>Monthly consultation with the LP to discuss process optimization and future scope</t>
  </si>
  <si>
    <t>Peer network with client on the advantages of Early adoption AI and how to set the stage for transforming business models and processes</t>
  </si>
  <si>
    <t>Refer to Research for understanding how to solve integration problems using AI by improving automation, engagement and insight</t>
  </si>
  <si>
    <t>Explore the Potential of Artificial Intelligence in Integration Platforms</t>
  </si>
  <si>
    <t>https://www.gartner.com/document/3873981?ref=customproposal</t>
  </si>
  <si>
    <t>Attend the AI Special Interest Group</t>
  </si>
  <si>
    <t>Meet with a peer member for developing AI skills</t>
  </si>
  <si>
    <t>Artificial intelligence Skills: How to develop skills?</t>
  </si>
  <si>
    <t>https://community.gartner.com/t5/The-Think-Tank/Artificial-intelligence-Skills-How-to-develop-skills/m-p/77348#M2701</t>
  </si>
  <si>
    <t>LP call to review MCPs / Action Plan and agree on engagements steps, establish cadence, timeframes and critical outcome success factor</t>
  </si>
  <si>
    <t xml:space="preserve">Start with foundational Research </t>
  </si>
  <si>
    <t xml:space="preserve">IT Operations Transformation Primer </t>
  </si>
  <si>
    <t>http://www.gartner.com/document/3850470?ref=customproposal</t>
  </si>
  <si>
    <t>ITSM vs. CRM</t>
  </si>
  <si>
    <t>https://community.gartner.com/t5/Applications/ITSM-vs-CRM/m-p/81432#M6680</t>
  </si>
  <si>
    <t xml:space="preserve">Gain insights on building a common enterprise-level view of IT services, and use it as a service allocation mechanism, from document </t>
  </si>
  <si>
    <t>ITSM Fundamentals: Defining Provider Relationships and Accountabilities Across a Service Value Chain</t>
  </si>
  <si>
    <t>http://www.gartner.com/document/3297217?ref=customproposal</t>
  </si>
  <si>
    <t xml:space="preserve">LP to Validate </t>
  </si>
  <si>
    <t xml:space="preserve">Research </t>
  </si>
  <si>
    <t>"Review How to Establish an I&amp;O Change Management Process That Supports Agile Development and DevOps  "</t>
  </si>
  <si>
    <t>http://www.gartner.com/doc/3680917?ref=shareSummary</t>
  </si>
  <si>
    <t>Call for current state assessment, identify gaps and building remediation plan</t>
  </si>
  <si>
    <t>Consult with Analyst for IT service automation solutions</t>
  </si>
  <si>
    <t>Gain insights on building a common enterprise-level view of IT services, and use it as a service allocation mechanism, from document ITSM Fundamentals: Defining Provider Relationships and Accountabilities Across a Service Value Chain</t>
  </si>
  <si>
    <t>Review Research to understand tool implementation best practices</t>
  </si>
  <si>
    <t>"Follow These ITSSM Tool Implementation Best Practices  "</t>
  </si>
  <si>
    <t>http://www.gartner.com/doc/3092222?ref=shareSummary</t>
  </si>
  <si>
    <t>Use Research to build a well-planned and managed service improvement initiative that deliver benefits beyond efficiency</t>
  </si>
  <si>
    <t>http://www.gartner.com/document/3249017?ref=customproposal</t>
  </si>
  <si>
    <t xml:space="preserve">Conduct ITScore workshop to determine service management process maturity. </t>
  </si>
  <si>
    <t xml:space="preserve">Outcomes - LP to Validate </t>
  </si>
  <si>
    <t xml:space="preserve">Consultation on determining if the IT service portfolio will be used as part of a cost allocation, showback or chargeback initiative </t>
  </si>
  <si>
    <t>ITSM Program review with Kenneth Gonzalez to offer guidance on scope and timelines for Cherwell implementation</t>
  </si>
  <si>
    <t>Connect with an analyst to build a well-planned and managed service improvement initiative that deliver benefits beyond efficiency</t>
  </si>
  <si>
    <t xml:space="preserve">Review ITSM Roadmap with analyst </t>
  </si>
  <si>
    <t>Consultation on measuring effectiveness of Service Management Process Improvements.</t>
  </si>
  <si>
    <t xml:space="preserve">Use below research to expand the scope of the SMO to address strategic IT services and communicate business value to business executives </t>
  </si>
  <si>
    <t>Implement a Service Management Office to Consolidate Service Governance and Practices</t>
  </si>
  <si>
    <t>http://www.gartner.com/document/3439529?ref=customproposal</t>
  </si>
  <si>
    <t xml:space="preserve">Peer network with client for sharing the best practices on how a service management office (SMO) can provide value </t>
  </si>
  <si>
    <t xml:space="preserve">Attend Fall 2018 Infrastructure &amp; Operations Peer Forum </t>
  </si>
  <si>
    <t>Utilize the peer forums to meet with a Peer Member regarding ITSM Categorization. Where do you start?https://community.gartner.com/t5/IT-Operations-and-Service/ITSM-Categorization-Where-do-you-start/m-p/30400#M1059</t>
  </si>
  <si>
    <t>https://community.gartner.com/t5/IT-Operations-and-Service/ITSM-Categorization-Where-do-you-start/m-p/30400#M1059</t>
  </si>
  <si>
    <t>Leverage Research on how to apply current risk management approaches and adjust to fit the new risks of the digital world</t>
  </si>
  <si>
    <t>Revisiting Risk in the Age of Digital Transformation</t>
  </si>
  <si>
    <t>http://www.gartner.com/document/3449617?ref=customproposal</t>
  </si>
  <si>
    <t>Refer to Research for key insights into Bimodal transformation</t>
  </si>
  <si>
    <t>http://www.gartner.com/document/3418317?ref=customproposal</t>
  </si>
  <si>
    <t xml:space="preserve">LP Kickoff call to draft an action plan, and agree on engagements steps. Establish cadence, timeframes and critical outcome success factors </t>
  </si>
  <si>
    <t xml:space="preserve">To deliver market-differentiating strategies and practices that can scale with business ambitions </t>
  </si>
  <si>
    <t>Data and Analytics Programs Primer for 2018</t>
  </si>
  <si>
    <t>https://www.gartner.com/document/3844064?ref=customproposal</t>
  </si>
  <si>
    <t>Attend Gartner Application Strategies &amp; Solutions Summit</t>
  </si>
  <si>
    <t>Attend Gartner EITL Fall Peer Forum 2018</t>
  </si>
  <si>
    <t xml:space="preserve">Attend SIG DNA Leader Huddle </t>
  </si>
  <si>
    <t>To create concrete, measurable metrics that link data and analytics initiatives to information, business and stakeholder value</t>
  </si>
  <si>
    <t>Data and Analytics Strategies Need More-Concrete Metrics of Success</t>
  </si>
  <si>
    <t>https://www.gartner.com/document/3314317?ref=customproposal</t>
  </si>
  <si>
    <t>Use Gartner data and analytics compass to build a good data and analytics strategy. Read :</t>
  </si>
  <si>
    <t>Use the Gartner Data and Analytics Compass to Drive Strategy</t>
  </si>
  <si>
    <t>https://www.gartner.com/document/3809567?ref=customproposal</t>
  </si>
  <si>
    <t xml:space="preserve">LP call to define strategic plan and gather stakeholder feedback
</t>
  </si>
  <si>
    <t xml:space="preserve">To begin the journey of logical data warehouse </t>
  </si>
  <si>
    <t>The Practical Logical Data Warehouse: A Strategic Plan for a Modern Data Management Solution for Analytics</t>
  </si>
  <si>
    <t>https://www.gartner.com/document/3867565?ref=customproposal</t>
  </si>
  <si>
    <t>Engage with Gartner Analyst to develop enterprise reporting from the transaction systems and use deep dive analytics to drive greater insight</t>
  </si>
  <si>
    <t>To establish a strategy and roadmap to implement a enterprise data warehouse with tools and processes to drive better decision making</t>
  </si>
  <si>
    <t>Attend Monthly Apps SIG</t>
  </si>
  <si>
    <t>Mid Year Check In</t>
  </si>
  <si>
    <t xml:space="preserve">LP Call to track progress and ensure successfully delivering against milestones </t>
  </si>
  <si>
    <t>Attend Gartner EITL Spring Peer Forum 2019</t>
  </si>
  <si>
    <t>To increase the business impact through data visualization and dashboards</t>
  </si>
  <si>
    <t>Critical Capabilities for Analytics and Business Intelligence Platforms</t>
  </si>
  <si>
    <t>https://www.gartner.com/document/3874285?ref=customproposal</t>
  </si>
  <si>
    <t>Utilize Peer Connect to choose Oracle or SAP for Data Warehouse</t>
  </si>
  <si>
    <t>Oracle or SAP HANA for Enterprise Data Warehouse</t>
  </si>
  <si>
    <t>https://community.gartner.com/t5/Data-Analytics/Oracle-or-SAP-HANA-for-Enterprise-Data-Warehouse/m-p/75500/thread-id/3431</t>
  </si>
  <si>
    <t xml:space="preserve">To understand the practicalities of dashboard design, interactivity and data visualization elements </t>
  </si>
  <si>
    <t>Toolkit: Forty Examples of Analytic Dashboards</t>
  </si>
  <si>
    <t>https://www.gartner.com/document/3803463</t>
  </si>
  <si>
    <t xml:space="preserve">Attend EITL Spring Peer Forum </t>
  </si>
  <si>
    <t>To ensure business agility together with a cohesive view of application and information infrastructures</t>
  </si>
  <si>
    <t>Toolkit: Use Gartner's Value Pyramid to Connect Data to Business Value</t>
  </si>
  <si>
    <t>https://www.gartner.com/document/3876280?ref=ddrec&amp;refval=3314317</t>
  </si>
  <si>
    <t>Peer network with client for driving inherent synergies between data and application a unified and pervasive set of disciplines</t>
  </si>
  <si>
    <t>LP call to discuss on process optimization and future scope</t>
  </si>
  <si>
    <t>To adopt augmented analytics as platform capabilities mature</t>
  </si>
  <si>
    <t>Augmented Analytics Is the Future of Data and Analytics</t>
  </si>
  <si>
    <t>https://www.gartner.com/document/3773164?ref=customproposal</t>
  </si>
  <si>
    <t>Leadership Partner call to review MCPs / Action Plan and agree on engagements steps, establish cadence, timeframes and critical outcome success factor</t>
  </si>
  <si>
    <t>Review Research to smoothen the transition to a cloud office system and delivering greater value</t>
  </si>
  <si>
    <t>Engage with Matthew W. Cain to discuss Office 365 and Google Cloud Options and understand the overall cloud office market</t>
  </si>
  <si>
    <t>Review Research to smoothen the transition to a cloud office system and deliver greater value</t>
  </si>
  <si>
    <t>Office 365, G Suite or Other Cloud Office Initiatives Primer for 2018</t>
  </si>
  <si>
    <t>http://www.gartner.com/document/3848163?ref=customproposal</t>
  </si>
  <si>
    <t>Consultation on how network planners and managers can optimize the network infrastructure to support Office 365</t>
  </si>
  <si>
    <t>Consultation on integration of cloud initiatives (Office 365) with the current technology and applications without disruptions</t>
  </si>
  <si>
    <t>Review Toolkit to prioritize the criteria for making cloud office system decisions, and capture specific evaluations as they apply to the organization</t>
  </si>
  <si>
    <t>Toolkit: Evaluation Framework for Google Apps for Work and Microsoft Office 365</t>
  </si>
  <si>
    <t>https://www.gartner.com/document/3388417?ref=customproposal</t>
  </si>
  <si>
    <t>Public cloud IaaS is not a commodity, and providers differ on the depth and breadth of their capabilities. Use research for strategic selections</t>
  </si>
  <si>
    <t>Critical Capabilities for Public Cloud Infrastructure as a Service, Worldwide</t>
  </si>
  <si>
    <t>https://www.gartner.com/document/3876468?ref=customproposal</t>
  </si>
  <si>
    <t>Review below Research and follow up with an analyst for gaining greater insights</t>
  </si>
  <si>
    <t>A Survival Guide to Microsoft Office 365 for Application Leaders</t>
  </si>
  <si>
    <t>https://www.gartner.com/document/3618024</t>
  </si>
  <si>
    <t>Connect with Adam Preset to get advice on Google docs MS office 365 integration and best practices for Office 365</t>
  </si>
  <si>
    <t>Leverage Research to pursue opportunities for future enhancements with third-party tools</t>
  </si>
  <si>
    <t>How to Enhance the Security of Office 365 to enhance security framework</t>
  </si>
  <si>
    <t>https://www.gartner.com/document/3514517?ref=customproposal</t>
  </si>
  <si>
    <t>Prepare for implementation and deployment of O365</t>
  </si>
  <si>
    <t>Attend Webinar on Office 365 and Digital Dexterity</t>
  </si>
  <si>
    <t>Futureproof the Workforce With Digital Dexterity</t>
  </si>
  <si>
    <t>https://www.gartner.com/webinar/3875479</t>
  </si>
  <si>
    <t>The Proven Path to Implementing Office 365</t>
  </si>
  <si>
    <t xml:space="preserve"> The Proven Path to Implementing Office 365</t>
  </si>
  <si>
    <t>Refer to foundational research on implementation strategies</t>
  </si>
  <si>
    <t>Leverage Research for continuous adoption of cloud office services within a digital workplace</t>
  </si>
  <si>
    <t>Maximize the Value of Office 365 by Making It Part of a Digital Workplace Program</t>
  </si>
  <si>
    <t>http://www.gartner.com/document/3561617?ref=customproposal</t>
  </si>
  <si>
    <t>Peer network with another client for sharing the best practices in adoption of cloud office tools and integration with current systems</t>
  </si>
  <si>
    <t xml:space="preserve">Review Research to understand how to make IT more adaptive, accelerate IT clock speed, and flex between different modes of business collaboration </t>
  </si>
  <si>
    <t>The New IT Operating Model for Digital</t>
  </si>
  <si>
    <t>https://www.gartner.com/document/3770165</t>
  </si>
  <si>
    <t>Use Research to maintain a balanced long-term view</t>
  </si>
  <si>
    <t>Cloud Computing Can Power Your DevOps Initiatives</t>
  </si>
  <si>
    <t>https://www.gartner.com/document/3850288?ref=lib</t>
  </si>
  <si>
    <t>Discuss with LP process optimization and future scope</t>
  </si>
  <si>
    <t>Understand different peer perspectives on O365</t>
  </si>
  <si>
    <t>Peer Connect Perspectives: Pay Attention to the Details When You Transition to Office 365</t>
  </si>
  <si>
    <t>Review Research to monitor the inclusion and maturation of AI in SaaS applications, such as Google G Suite and Microsoft Office 365</t>
  </si>
  <si>
    <t>Maximize the Effectiveness of Office 365  With Everyday AI</t>
  </si>
  <si>
    <t>https://www.gartner.com/document/3744117?ref=customproposal</t>
  </si>
  <si>
    <t>LP call to review and plan for next steps</t>
  </si>
  <si>
    <t xml:space="preserve">Enable Mode 2 capabilities, while sharing knowledge and bridging the modes   </t>
  </si>
  <si>
    <t>Enabling the Bimodal Enterprise With DevOps Practices Primer for 2018</t>
  </si>
  <si>
    <t>https://www.gartner.com/document/3842368</t>
  </si>
  <si>
    <t xml:space="preserve">LP call to draft an action plan, and agree on engagements steps. Establish cadence, timeframes and critical outcome success factors   </t>
  </si>
  <si>
    <t xml:space="preserve">Collaborate with an analyst to identify a business need that DevOps will address in order to justify a DevOps initiative   </t>
  </si>
  <si>
    <t xml:space="preserve">Eight foundational steps that I&amp;O leaders must take to establish a successful DevOps initiative  </t>
  </si>
  <si>
    <t>https://www.gartner.com/document/3810916</t>
  </si>
  <si>
    <t>I&amp;O leaders must redefine the mission of IT operations to focus on delivering positive business outcomes. To understand more, view</t>
  </si>
  <si>
    <t>IT Operations Transformation Primer for 2018</t>
  </si>
  <si>
    <t>https://www.gartner.com/document/code/343934?ref=projectKI&amp;refval=10503</t>
  </si>
  <si>
    <t>LP Call to discuss current state assessment and identify gap and remediation plan</t>
  </si>
  <si>
    <t>Ensure organizational success by prioritizing capabilities in the DevOps toolchain to achieve business objectives</t>
  </si>
  <si>
    <t>Use DevOps toolchain orchestration to meet speed and efficiency expectations</t>
  </si>
  <si>
    <t>Orchestrate Your DevOps Toolchain</t>
  </si>
  <si>
    <t>https://www.gartner.com/document/3825763?ref=customproposal</t>
  </si>
  <si>
    <t>On establishing objectives by instituting metrics and incentives that encourage teamwork toward business goals as opposed to metrics</t>
  </si>
  <si>
    <t>Consultation to discuss current state assessment, identify blockers and suggest next steps</t>
  </si>
  <si>
    <t xml:space="preserve">Review Research on where to start and then scale Mode 2 </t>
  </si>
  <si>
    <t>DevOps Is the Bimodal Bridge</t>
  </si>
  <si>
    <t>https://www.gartner.com/document/3678820?ref=customproposal</t>
  </si>
  <si>
    <t xml:space="preserve">Review Research to improve people component in order to optimize IT operations and drive business value </t>
  </si>
  <si>
    <t>Build I&amp;O Staff Talent to Support Bimodal, DevOps and Cloud</t>
  </si>
  <si>
    <t>https://www.gartner.com/document/3728918?ref=customproposal</t>
  </si>
  <si>
    <t xml:space="preserve">Engage with an analyst on dynamic areas of DevOps and how tools can help IT Operations &amp; DevOps teams to achieve their goals  </t>
  </si>
  <si>
    <t xml:space="preserve">To realize steady process improvement and agility while growing a DevOps initiative  </t>
  </si>
  <si>
    <t>Accelerate the cultural and behavioral shift needed to maximize throughput via continuous integration and delivery by promoting DevOps release</t>
  </si>
  <si>
    <t>Three Approaches to Building an Effective DevOps Product Release Capability</t>
  </si>
  <si>
    <t>https://www.gartner.com/document/3841163</t>
  </si>
  <si>
    <t>Meet with a peer member for an understanding of the business drivers that enable competition, and the business value of DevOps</t>
  </si>
  <si>
    <t>Monthly consultation with the Leadership Partner to discuss blockers</t>
  </si>
  <si>
    <t>To identify areas for improvement and promote collaborative culture</t>
  </si>
  <si>
    <t>Leverage Research on how DevOps initiatives should ensure that their teams adopt its core principles and practices</t>
  </si>
  <si>
    <t>Principles and Practices of DevOps That I&amp;O Leaders Need to Cultivate</t>
  </si>
  <si>
    <t>https://www.gartner.com/document/3565082?ref=customproposal</t>
  </si>
  <si>
    <t>Measuring the value of business terms in ways that the business stakeholders can understand — there is a price to pay for becoming agile</t>
  </si>
  <si>
    <t>How to Derive Business Value From DevOps</t>
  </si>
  <si>
    <t>https://www.gartner.com/document/3510017</t>
  </si>
  <si>
    <t>Call</t>
  </si>
  <si>
    <t xml:space="preserve">LP call to draft an action plan, and agree on engagements steps. Establish cadence, timeframes and critical outcome success factors </t>
  </si>
  <si>
    <t xml:space="preserve">Meet with a peer member regarding   </t>
  </si>
  <si>
    <t>Save the Mainframe?</t>
  </si>
  <si>
    <t>https://community.gartner.com/t5/Applications/Save-the-Mainframe/m-p/54865#M3788</t>
  </si>
  <si>
    <t>Engage with analyst to focus on cloud computing, emerging and strategic technology trends, and how enterprises establish technology innovation program</t>
  </si>
  <si>
    <t xml:space="preserve">Start with research for a step by step approach to deliver a more agile environment using commercial off-the-shelf infrastructure </t>
  </si>
  <si>
    <t>Review Research on identifying which infrastructures can be standardized, virtualized, moved to the cloud or retired</t>
  </si>
  <si>
    <t>How to Relocate and Retire Infrastructure to Optimize IT Simplicity</t>
  </si>
  <si>
    <t>https://www.gartner.com/document/3783124?ref=customproposal</t>
  </si>
  <si>
    <t>Before embarking on a simplification or retirement process, I&amp;O leaders need to know exactly what they have. Consult with the LP to know more on this</t>
  </si>
  <si>
    <t>Review Research to determine the strategies and opportunities open to modernize legacy systems using the cloud</t>
  </si>
  <si>
    <t>https://www.gartner.com/document/3249517?ref=customproposal</t>
  </si>
  <si>
    <t>Discuss with LP infrastructure delivery, from on-premises, data-center-based IT, to hybrid IT including colocation and cloud computing</t>
  </si>
  <si>
    <t>Global Data Center Strategy (Template)</t>
  </si>
  <si>
    <t>https://community.gartner.com/t5/Templates/Global-Data-Center-Strategy-Template/ta-p/35233</t>
  </si>
  <si>
    <t>Attend Spring Peer Forum</t>
  </si>
  <si>
    <t>Review below Research for different cloud complementary approaches</t>
  </si>
  <si>
    <t>Deliver Data Center Modernization Using Three Cloud-Complementary Approaches_x000B_</t>
  </si>
  <si>
    <t>https://www.gartner.com/document/3614617?ref=customproposal</t>
  </si>
  <si>
    <t xml:space="preserve">SD-WAN Economics: Shift From Tactical to Strategic Thinking </t>
  </si>
  <si>
    <t>Consultation to quantify the impact on improving availability, lowering operations costs &amp; increasing application performance</t>
  </si>
  <si>
    <t>LP to Validate the topic of Onsite Workshop</t>
  </si>
  <si>
    <t>Review Research to improve agility, recognizing that not all service aspects can improve via SD-WAN alone</t>
  </si>
  <si>
    <t>Discuss how to both benefit from and mitigate risks for these unproven, fast-evolving market changes</t>
  </si>
  <si>
    <t>Review the below research documents to understand the future of storage optimization</t>
  </si>
  <si>
    <t>Is Cloud Storage the New Tape?</t>
  </si>
  <si>
    <t>https://www.gartner.com/document/3258417?ref=customproposal</t>
  </si>
  <si>
    <t>The Future of Storage Networking — Will This Picture Ever Change?</t>
  </si>
  <si>
    <t>https://www.gartner.com/document/3869064?ref=customproposal</t>
  </si>
  <si>
    <t>The Future of Object Storage</t>
  </si>
  <si>
    <t>https://www.gartner.com/document/3750663?ref=customproposal</t>
  </si>
  <si>
    <t xml:space="preserve"> Evaluate new digital business innovations, and deliberately incorporate them into their application strategies to deliver maximum business value</t>
  </si>
  <si>
    <t>Modernizing Application Architecture and Infrastructure Primer for 2018</t>
  </si>
  <si>
    <t>https://www.gartner.com/document/3843384?ref=customproposal</t>
  </si>
  <si>
    <t xml:space="preserve">Attend Gartner Application Strategies &amp; Solutions Summit
</t>
  </si>
  <si>
    <t xml:space="preserve">Attend Gartner EITL Fall Peer Forum 2018
</t>
  </si>
  <si>
    <t>Consult with LP and use this research to determine the next step in modernizing your application</t>
  </si>
  <si>
    <t>Improve Your Application Delivery With Gartner's ITScore for Applications</t>
  </si>
  <si>
    <t>https://www.gartner.com/document/3487417?ref=customproposal</t>
  </si>
  <si>
    <t xml:space="preserve">Engage with Gartner Analyst to evaluate the modernization approaches on their ability to select the best approach to solve their problem </t>
  </si>
  <si>
    <t>To solve legacy app challenges, while infusing modern agile practices, design methodologies, disruptive technologies and a continuous quality mindset</t>
  </si>
  <si>
    <t>Attend SIG as per Calendar</t>
  </si>
  <si>
    <t>Research : To develop application strategies</t>
  </si>
  <si>
    <t>Application Development Strategies for Digital Business Primer for 2018</t>
  </si>
  <si>
    <t>https://www.gartner.com/document/3850464?ref=customproposal</t>
  </si>
  <si>
    <t>To choose the modernization approach with the highest effect and value while also considering cost, risk and impact</t>
  </si>
  <si>
    <t>Use Gartner's evaluation process to select the best approach for modernization</t>
  </si>
  <si>
    <t xml:space="preserve"> LP Call to track progress and ensure successfully delivering against milestones 
</t>
  </si>
  <si>
    <t xml:space="preserve">To adopt a business-focused, multiplatform modernization strategy </t>
  </si>
  <si>
    <t>Application Modernization Should Be Business-Centric, Continuous and Multiplatform</t>
  </si>
  <si>
    <t>https://www.gartner.com/document/3848474?ref=customproposal</t>
  </si>
  <si>
    <t xml:space="preserve">Attend Gartner EITL Spring Peer Forum 2019
</t>
  </si>
  <si>
    <t>To remove impediments and executing continuous business-driven modernization to provide optimum valu</t>
  </si>
  <si>
    <t>https://www.gartner.com/document/3846764?ref=ggrec&amp;refval=3873007</t>
  </si>
  <si>
    <t xml:space="preserve">Engage with Analyst to modernize application development </t>
  </si>
  <si>
    <t>Hype Cycle for Application Development, 2017</t>
  </si>
  <si>
    <t>https://www.gartner.com/document/3779164?ref=customproposal</t>
  </si>
  <si>
    <t>LP call to track progress and ensure successfully delivering against milestones</t>
  </si>
  <si>
    <t>To get a high-level view of application development spending and staffing measures and distributions</t>
  </si>
  <si>
    <t>IT Key Metrics Data 2018: Key Applications Measures: Application Development: Current Year</t>
  </si>
  <si>
    <t>https://www.gartner.com/document/3830109?ref=customproposal</t>
  </si>
  <si>
    <t xml:space="preserve">Peer Network with a client to know best practices and benchmark the processes </t>
  </si>
  <si>
    <t>To plan for these new technologies in their application strategies</t>
  </si>
  <si>
    <t>New Technology Will Modernize Your Financial Close Application Strategy</t>
  </si>
  <si>
    <t>https://www.gartner.com/document/3861487?ref=customproposal</t>
  </si>
  <si>
    <t>As a starting document, leverage:</t>
  </si>
  <si>
    <t>Cloud Security Primer for 2018</t>
  </si>
  <si>
    <t>https://www.gartner.com/document/3846464?ref=customproposal</t>
  </si>
  <si>
    <t>Attend Gartner EITL Fall Peer Forum 2018 and discuss with peers who have already implemented a comprehensive cloud security program</t>
  </si>
  <si>
    <t>Use this template to bridge and unify cloud strategy and cloud policy, leveraging:</t>
  </si>
  <si>
    <t>An Overview of Enterprise Cloud Strategy Approaches and a Pragmatic Template for Setting Your Cloud Use Policy</t>
  </si>
  <si>
    <t>https://www.gartner.com/document/3582218?ref=customproposal</t>
  </si>
  <si>
    <t>Develop an overarching cloud strategy for the enterprise, leveraging:</t>
  </si>
  <si>
    <t>https://www.gartner.com/document/3170720?ref=customproposal</t>
  </si>
  <si>
    <t>Develop plan for gathering information from key stakeholders for cloud security strategy development</t>
  </si>
  <si>
    <t>Develop new approaches to securely and reliably leverage the benefits of SaaS, PaaS and IaaS, leveraging:</t>
  </si>
  <si>
    <t>https://www.gartner.com/document/3850266?ref=customproposal</t>
  </si>
  <si>
    <t>Review output of planning meeting and initial summary of  strategy, environment and technology information gathered from key stakeholders</t>
  </si>
  <si>
    <t>Attend CISO Huddle and discuss with specialists in cloud security</t>
  </si>
  <si>
    <t xml:space="preserve">Develop RACI chart. Validate RACI chart internally </t>
  </si>
  <si>
    <t>Implement and enforce policies on cloud ownership, responsibility and risk acceptance with Analyst</t>
  </si>
  <si>
    <t>Understand the scope of their responsibilities for security in the cloud</t>
  </si>
  <si>
    <t>Staying Secure in the Cloud Is a Shared Responsibility</t>
  </si>
  <si>
    <t>https://www.gartner.com/document/3277620?ref=customproposal</t>
  </si>
  <si>
    <t>For technological innovation, adoption lifecycle, leverage</t>
  </si>
  <si>
    <t>Hype Cycle for Cloud Security, 2017</t>
  </si>
  <si>
    <t>https://www.gartner.com/document/3762163?ref=customproposal</t>
  </si>
  <si>
    <t>Prepare for thorough assessment of organization’s cloud security program and capabilities including approach, frameworks and potential partners.</t>
  </si>
  <si>
    <t>Attend Gartner EITL Spring Peer Forum 2019 and discuss best practices in cloud security</t>
  </si>
  <si>
    <t>Review standard frameworks and methodologies for analyzing, tracking and reporting risks as part of a cloud security strategy policy</t>
  </si>
  <si>
    <t xml:space="preserve">For understanding technologies and vendor evaluation, leverage Gartner analyst </t>
  </si>
  <si>
    <t>For vendor evaluation and selection, leverage:</t>
  </si>
  <si>
    <t>Cool Vendors in Cloud Security</t>
  </si>
  <si>
    <t>https://www.gartner.com/document/3874388?ref=customproposal</t>
  </si>
  <si>
    <t>Magic Quadrant for Cloud Access Security Brokers</t>
  </si>
  <si>
    <t>https://www.gartner.com/document/3834266?ref=customproposal</t>
  </si>
  <si>
    <t>Follow these 10 best practices learned from early adopters to ensure a successful deployment</t>
  </si>
  <si>
    <t>10 Best Practices for Successful CASB Projects</t>
  </si>
  <si>
    <t>https://www.gartner.com/document/3825564?ref=customproposal</t>
  </si>
  <si>
    <t>Prepare your cloud agreements and protect your company's interests</t>
  </si>
  <si>
    <t>Toolkit: Outsourcing Contract — Cloud Services — Security Articles</t>
  </si>
  <si>
    <t>https://www.gartner.com/document/3814863?ref=customproposal</t>
  </si>
  <si>
    <t>Review  stakeholder feedback on draft strategy and discuss revisions to strategy document</t>
  </si>
  <si>
    <t xml:space="preserve">Attend Gartner Security &amp; Risk Management Summit 2019 and meet with Analysts, Vendors, and Peers who specialize in cloud security
</t>
  </si>
  <si>
    <t>Build specific protections against cloud-specific risks into contracts, by leveraging:</t>
  </si>
  <si>
    <t>Reduce Security Risks by Mastering Cloud Contracts and Security Standards</t>
  </si>
  <si>
    <t>https://www.gartner.com/document/3792368?ref=customproposal</t>
  </si>
  <si>
    <t>Engage with Gartner analyst for gaining insights into RFP and contract negotiation with cloud solution providers</t>
  </si>
  <si>
    <t>Review final draft of Risk Management Framework strategy and provide final comments and advice</t>
  </si>
  <si>
    <t>Prepare for presentation of cloud security strategy to executive leadership.  Discuss audience, key messages and potential questions</t>
  </si>
  <si>
    <t>Identify metrics that indicate program effectiveness</t>
  </si>
  <si>
    <t xml:space="preserve">Review progress. Discuss initial strategy efforts, making strategy actionable, and ongoing Gartner support. </t>
  </si>
  <si>
    <t>Leverage the research for launching, scaling and revitalizing DevOps initiatives</t>
  </si>
  <si>
    <t>https://www.gartner.com/document/3842368?ref=customproposal</t>
  </si>
  <si>
    <t>Leverage the research to adopt these steps to establish a successful DevOps initiative</t>
  </si>
  <si>
    <t>https://www.gartner.com/document/3810916?ref=customproposal</t>
  </si>
  <si>
    <t xml:space="preserve">Attend Gartner Application Strategies &amp; Solutions Summit 2018
</t>
  </si>
  <si>
    <t>Engage to identify a business need in detail that DevOps will address</t>
  </si>
  <si>
    <t xml:space="preserve">To build a DevOps capabilities roadmap that includes potential key milestones </t>
  </si>
  <si>
    <t>Consult with LP or bimodal strategy and DevOps implementation, engage with LP and leverage</t>
  </si>
  <si>
    <t>Understand technology maturity cycle and adoption, leveraging</t>
  </si>
  <si>
    <t>Hype Cycle for DevOps, 2017</t>
  </si>
  <si>
    <t>https://www.gartner.com/document/3761663?ref=customproposal</t>
  </si>
  <si>
    <t xml:space="preserve"> Use this research for a top-down view to design and implement toolchains </t>
  </si>
  <si>
    <t>https://www.gartner.com/document/3810934?ref=customproposal</t>
  </si>
  <si>
    <t>Engage with Gartner Analyst to develop the strategic roadmap for DevOps</t>
  </si>
  <si>
    <t>Leverage research: Use Bimodal and Pace Layering to Build an Agile and DevOps Transformation Roadmap</t>
  </si>
  <si>
    <t>https://www.gartner.com/document/3823260?ref=customproposal</t>
  </si>
  <si>
    <t xml:space="preserve">Bridge the gap between product development and platform operations to support continuous delivery </t>
  </si>
  <si>
    <t>https://www.gartner.com/document/3841163?ref=customproposal</t>
  </si>
  <si>
    <t xml:space="preserve">LP Call to track progress and ensure successfully delivering against milestones  </t>
  </si>
  <si>
    <t xml:space="preserve">For process improvement and agility while growing a DevOps initiative, leverage </t>
  </si>
  <si>
    <t>https://www.gartner.com/document/3558317?ref=customproposal</t>
  </si>
  <si>
    <t xml:space="preserve">Engage with analyst for vendor evaluation and contract negotiation </t>
  </si>
  <si>
    <t>For vendor evaluation and selection, leverage</t>
  </si>
  <si>
    <t>Market Guide for Agile and DevOps Services</t>
  </si>
  <si>
    <t>https://www.gartner.com/document/3817062?ref=customproposal</t>
  </si>
  <si>
    <t>Cool Vendors in DevOps, First Wave</t>
  </si>
  <si>
    <t>https://www.gartner.com/document/3872274?ref=customproposal</t>
  </si>
  <si>
    <t>Engage with LP and discuss strategy and pain points while DevOps implementation</t>
  </si>
  <si>
    <t>Identify transformative leaders to head up DevOps efforts, develop their abilities</t>
  </si>
  <si>
    <t>How to Find, Develop and Manage Transformative DevOps Leaders</t>
  </si>
  <si>
    <t>https://www.gartner.com/document/3865409?ref=customproposal</t>
  </si>
  <si>
    <t>Identify potential improvement opportunities, leveraging:</t>
  </si>
  <si>
    <t>Use Work Metrics to Identify Improvement Opportunities With DevOps Teams</t>
  </si>
  <si>
    <t>https://www.gartner.com/document/3839467?ref=ddrec&amp;refval=3865409</t>
  </si>
  <si>
    <t>Peer network with a client to understand best practices and benchmark the processes</t>
  </si>
  <si>
    <t>Track DevOps teams' progress toward business goals, identify areas for improvement and promote collaborative culture with LP, and leverage:</t>
  </si>
  <si>
    <t>https://www.gartner.com/document/3760663?ref=customproposal</t>
  </si>
  <si>
    <t>The Comprehensive Guide to Employee Awareness (CEB) to help structure plan</t>
  </si>
  <si>
    <t>https://www.gartner.com/document/3769097?ref=solrAll&amp;refval=204049355&amp;qid=c995238ddf7ba8eecaab4c947f657ae2</t>
  </si>
  <si>
    <t>Information Security Awareness Lead</t>
  </si>
  <si>
    <t>https://www.gartner.com/document/3768066?ref=TypeAheadSearch&amp;qid=91cf4cac983c2b059f86eebcc</t>
  </si>
  <si>
    <t>Three Critical Factors in Building a Comprehensive Security Awareness Program</t>
  </si>
  <si>
    <t>https://www.gartner.com/document/3802564?ref=TypeAheadSearch&amp;qid=8378ec3ec8c5e4ec88ea3af8f</t>
  </si>
  <si>
    <t>Review current program, gaps and challenges.  Determine action plan including timeline, milestones and deliverables.</t>
  </si>
  <si>
    <t>Analyst to review draft of program Vision, Mission &amp; Objectives, key use cases and metrics</t>
  </si>
  <si>
    <t xml:space="preserve">Designing a Security Champion Program </t>
  </si>
  <si>
    <t>https://www.gartner.com/document/3746118?ref=TypeAheadSearch&amp;qid=2de4ef88de7484e79d901db</t>
  </si>
  <si>
    <t xml:space="preserve">Build and Measure a Security Mindset </t>
  </si>
  <si>
    <t>https://www.gartner.com/document/3764434?ref=TypeAheadSearch&amp;qid=c4e7e43ca13e8af6984af4e</t>
  </si>
  <si>
    <t>Developing Employees’ “Security Mindsets”</t>
  </si>
  <si>
    <t>https://www.gartner.com/document/3767786?ref=solrAll&amp;refval=204049749&amp;qid=05eb4a8207e2520b5b8a07fcd53a4052</t>
  </si>
  <si>
    <t>10 Ways to Improve Security Awareness on a Tight Budget</t>
  </si>
  <si>
    <t>https://www.gartner.com/document/3364317?ref=solrAll&amp;refval=204049848&amp;qid=079660485e105a8101b84efc71d4355b</t>
  </si>
  <si>
    <t xml:space="preserve"> Defined program Vision, Mission &amp; Objectives.Key business-aligned objectives identified,use cases and program metrics developed.</t>
  </si>
  <si>
    <t>Attend Gartner EITL Fall Peer Forum 2018 and discuss elements of a security awareness program</t>
  </si>
  <si>
    <t>Discuss progress on executive buy-in and refining program objectives and plan based on feedback.</t>
  </si>
  <si>
    <t>Avoid 10 Common Security Awareness Mistakes</t>
  </si>
  <si>
    <t>https://www.gartner.com/document/3479733?ref=TypeAheadSearch&amp;qid=cacd893fdf03fd3a8f9</t>
  </si>
  <si>
    <t>Research:How to Build Support for Your Security Awareness Program to help secure executive support</t>
  </si>
  <si>
    <t>Review program Vision, Mission &amp; Objectives, business-aligned use cases, metrics and staffing.  Discuss plan for building consensus, executive buy-in.</t>
  </si>
  <si>
    <t>Discuss methods, tools and capabilities needed for program including existing Learning Management Systems, organizational requirements and potential</t>
  </si>
  <si>
    <t>Magic Quadrant for Security Awareness Computer-Based Training to assess potential solutions</t>
  </si>
  <si>
    <t>https://www.gartner.com/document/3817025?ref=customproposal</t>
  </si>
  <si>
    <t>Peer Insights: Reviews for Security Awareness Computer-Based Training for insight on solutions</t>
  </si>
  <si>
    <t>https://www.gartner.com/document/3629840?ref=solrAll&amp;refval=204047799&amp;qid=6fdc542169cac1fddd255bb755816347</t>
  </si>
  <si>
    <t>Discuss market for Security Awareness Computer-Based Training and other solutions</t>
  </si>
  <si>
    <t>Fighting Phishing: Optimize Your Defense</t>
  </si>
  <si>
    <t>https://www.gartner.com/document/3256817?ref=solrAll&amp;refval=204050966&amp;qid=a67cf193af32f4c06cfca740be4f2c86</t>
  </si>
  <si>
    <t>Toolkit: RFP Template for Security Education Computer-Based Training Products and Services</t>
  </si>
  <si>
    <t>https://www.gartner.com/document/2710322?ref=solrAll&amp;refval=204051041&amp;qid=5552f13d06dd2e939f7eb43d4836c59b</t>
  </si>
  <si>
    <t>Define Security Awareness requirements and acquire appropriate tools and technology.</t>
  </si>
  <si>
    <t>Discuss short-list vendors with peers who have worked with those vendors.</t>
  </si>
  <si>
    <t>Receive Gartner Analyst feedback on draft RFP for Security Awareness Computer-Based Training</t>
  </si>
  <si>
    <t>Review short-list vendors and proposed contract from Security Awareness Computer-Based Training vendors. Assess pricing for potential cost savings</t>
  </si>
  <si>
    <t>Discuss implementation plan for Security Awareness program and training tools including confirming executive buy-in, addressing potential challenges.</t>
  </si>
  <si>
    <t>Ten Tips for Creating Engaging Content</t>
  </si>
  <si>
    <t>https://www.gartner.com/document/3767870?ref=solrAll&amp;refval=204051135&amp;qid=b623ed1ab580d6038209ad94ccfeebb1</t>
  </si>
  <si>
    <t>Review draft communication plan for Security Awareness program and provide feedback.</t>
  </si>
  <si>
    <t>Attend CISO Huddle and discuss with specialists on security awareness</t>
  </si>
  <si>
    <t>Employee Awareness Posters</t>
  </si>
  <si>
    <t>https://www.gartner.com/document/3767792?ref=TypeAheadSearch&amp;qid=e65b93a088ff09bc2f0c</t>
  </si>
  <si>
    <t>Wallet Cards</t>
  </si>
  <si>
    <t>https://www.gartner.com/document/3767797?ref=solrAll&amp;refval=204051211&amp;qid=b4e9578e7524b9de5e624b2e74a72020</t>
  </si>
  <si>
    <t xml:space="preserve">Research - Develop Key Risk Indicators and Security Metrics That Influence Business Decision Making to help refine program metrics </t>
  </si>
  <si>
    <t>Review metrics and communication plan with Gartner Analyst to help finalize approach.</t>
  </si>
  <si>
    <t>Deploy Security Awareness Computer-Based Training, communication plan and other elements of program. Implement metrics and measurements.</t>
  </si>
  <si>
    <t>Research - Read Communicating the Success of Your Security Awareness Program to help refine communication plan</t>
  </si>
  <si>
    <t>Review implementation plan, metrics and communciation plan and discuss potential challenges and solutions with Gartner Analyst</t>
  </si>
  <si>
    <t>Attend Gartner EITL Spring Peer Forum 2019 and talk to your peers on best practices for maturing security awareness</t>
  </si>
  <si>
    <t xml:space="preserve">Review status of program, metrics and  challenges. Discuss next steps and opportunities to improve including specific education targeted at high risk </t>
  </si>
  <si>
    <t>Attend Gartner Security &amp; Risk Management Summit 2019 and meet with Analysts, Vendors, and Peers with to refresh your outlook towards security</t>
  </si>
  <si>
    <t xml:space="preserve"> Peer Connect Perspectives: Bring Everything for Information Security Awareness </t>
  </si>
  <si>
    <t>https://www.gartner.com/document/3849163?ref=feed</t>
  </si>
  <si>
    <t>Discuss status of program, metrics and opportunities for improvement with Gartner Analyst.  Review high risk groups including executives .</t>
  </si>
  <si>
    <t>Identify areas for improvement and implement changes. Implement targeted training for high risk groups. Improve program based on established metrics.</t>
  </si>
  <si>
    <t xml:space="preserve">Evaluating Your Awareness Campaign </t>
  </si>
  <si>
    <t>https://www.gartner.com/document/3767899?ref=TypeAheadSearch&amp;qid=bfcabf84885e5fab0afddafbba7</t>
  </si>
  <si>
    <t>Plan to gather user feedback including surveying segment of users on what works best, what helped them in their personal home life to be more secure</t>
  </si>
  <si>
    <t xml:space="preserve">Creating an Incentives Program </t>
  </si>
  <si>
    <t>https://www.gartner.com/document/3766797?ref=TypeAheadSearch&amp;qid=9e7bfb0cf10a18ccb2883a2d2</t>
  </si>
  <si>
    <t>Employee Awareness Self-Diagnostic</t>
  </si>
  <si>
    <t>https://www.gartner.com/document/3767785?ref=solrAll&amp;refval=204110540&amp;qid=17ee812027d89ad20461d4b12f3589d9</t>
  </si>
  <si>
    <t>Discuss advanced approaches to Security Awareness with peers.</t>
  </si>
  <si>
    <t xml:space="preserve">Attend SIG : DNA Leaders Huddle </t>
  </si>
  <si>
    <t>Start with maturity self-assessment document and discuss the procedural results with the LP</t>
  </si>
  <si>
    <t>Toolkit: Enterprise Information Management Maturity Self-Assessment</t>
  </si>
  <si>
    <t>https://www.gartner.com/document/3840581?ref=customproposal</t>
  </si>
  <si>
    <t>Build an Enterprise Information Management roadmap</t>
  </si>
  <si>
    <t>Strategic Roadmap for Enterprise Information Management</t>
  </si>
  <si>
    <t>https://www.gartner.com/document/3645361?ref=customproposal</t>
  </si>
  <si>
    <t>Engage with an analyst to articulate how to deliver business value through embedding best practice information management capabilities</t>
  </si>
  <si>
    <t xml:space="preserve">Attend Gartner EITL Fall Peer Forum. </t>
  </si>
  <si>
    <t>Use Research for required alignment, leverage and linking of data and analytics programs</t>
  </si>
  <si>
    <t>Gartner's Enterprise Information Management Maturity Model</t>
  </si>
  <si>
    <t>https://www.gartner.com/document/3236418?ref=customproposal</t>
  </si>
  <si>
    <t>Collaborate with an analyst on select technologies for MDM, information stewardship and governance</t>
  </si>
  <si>
    <t>Refer to Research for building a data strategy for successful deployments</t>
  </si>
  <si>
    <t>How%20to%20Create%20a%20Data%20Strategy%20for%20Machine%20Learning-Powered%20Artificial%20Intelligence</t>
  </si>
  <si>
    <t>Discuss potential themes and create agenda for onsite session on Information Management Strategy and Implementation</t>
  </si>
  <si>
    <t xml:space="preserve">Attend Gartner Data and Analytics Summit </t>
  </si>
  <si>
    <t xml:space="preserve">Monthly call with Leadership Partner to discuss progress and position in the roadmap </t>
  </si>
  <si>
    <t>Refer to Research for deploying the right tools, and educating the employees organizationwide on how to overcome instinctual data hoarding</t>
  </si>
  <si>
    <t>Organizations Will Need to Tackle Three Challenges to Curb Unstructured Data Glut and Neglect</t>
  </si>
  <si>
    <t>https://www.gartner.com/document/3077117?ref=customproposal</t>
  </si>
  <si>
    <t>Attend Gartner EITL Spring Peer Forum. Connect with peer member on understanding the key metrics for Information Management</t>
  </si>
  <si>
    <t>KPIs for MDM and Information Management (Template)</t>
  </si>
  <si>
    <t>https://community.gartner.com/t5/Templates/KPIs-for-MDM-and-Information-Management-Template/ta-p/43380</t>
  </si>
  <si>
    <t>Engage with analyst on Gartner's three rings model to simplify records, documents and data classification</t>
  </si>
  <si>
    <t xml:space="preserve">Data and analytics leaders must master how to react to different approaches, how they vary as conditions change. View Document - </t>
  </si>
  <si>
    <t>Use Bimodal Enterprise Information Management for Data and Analytics Program Innovation</t>
  </si>
  <si>
    <t>https://www.gartner.com/document/3741817?ref=customproposal</t>
  </si>
  <si>
    <t>Engage with analyst on setting up effective data management governance practices</t>
  </si>
  <si>
    <t>Monthly LP call to discuss and plan for next steps</t>
  </si>
  <si>
    <t xml:space="preserve">Meet with a peer member regarding </t>
  </si>
  <si>
    <t>Enterprise Information Management Organization</t>
  </si>
  <si>
    <t>https://community.gartner.com/t5/Data-Analytics/Enterprise-Information-Management-Organization/m-p/69584#M2975</t>
  </si>
  <si>
    <t>LP Consultation to discuss process optimization and future scope</t>
  </si>
  <si>
    <t>Review Research and convey your vision for data and analytics effectively</t>
  </si>
  <si>
    <t>https://www.gartner.com/document/3748997?ref=customproposal</t>
  </si>
  <si>
    <t>Use research on how to take advantage of a new sentiment toward information management to deliver consumer value and competitive advantage</t>
  </si>
  <si>
    <t>Information 2020: Beyond Big Data</t>
  </si>
  <si>
    <t>https://www.gartner.com/document/2681316?ref=customproposal</t>
  </si>
  <si>
    <t>LP call to discuss progress and plan for next steps</t>
  </si>
  <si>
    <t>Assess and improve the maturity of your PAM program, leveraging research:</t>
  </si>
  <si>
    <t>https://www.gartner.com/document/3371724?ref=customproposal</t>
  </si>
  <si>
    <t>As a starting research material, leverage:</t>
  </si>
  <si>
    <t>Market Guide for Privileged Access Management</t>
  </si>
  <si>
    <t>https://www.gartner.com/document/3789663?ref=customproposal</t>
  </si>
  <si>
    <t>Attend Gartner EITL Fall Peer Forum 2018 and discuss key elements of PAM</t>
  </si>
  <si>
    <t>Develop a plan for gathering information from key stakeholders with LP</t>
  </si>
  <si>
    <t>Receive feedback from Gartner Analyst on draft description of business strategy, external factors, technology roadmap and key areas of PAM</t>
  </si>
  <si>
    <t>Review output of planning meeting and initial summary of business strategy, environment and technology information gathered from key stakeholders</t>
  </si>
  <si>
    <t>Prepare for thorough assessment of organization’s PAM program and capabilities including approach, frameworks and potential partners</t>
  </si>
  <si>
    <t>For gaining insights into maturity cycle of IAM and PAM technologies, leverage:</t>
  </si>
  <si>
    <t>Hype Cycle for Identity and Access Management Technologies, 2017</t>
  </si>
  <si>
    <t>https://www.gartner.com/document/3755464?ref=customproposal</t>
  </si>
  <si>
    <t>Manage privileged access in a risk-aware fashion, leveraging:</t>
  </si>
  <si>
    <t>Best Practices for Privileged Access Management</t>
  </si>
  <si>
    <t>https://www.gartner.com/document/3800163?ref=customproposal</t>
  </si>
  <si>
    <t>Understand pain points of Privileged Access Management program and devise solutions with LP</t>
  </si>
  <si>
    <t>Attend CISO Huddle and discuss with specialists on PAM</t>
  </si>
  <si>
    <t>Engage with Gartner analyst for vendor selection, RFP creation and contract negotiation</t>
  </si>
  <si>
    <t>Evaluate multiple vendors with an eye on future requirements as well as costs</t>
  </si>
  <si>
    <t>https://www.gartner.com/document/3741018?ref=customproposal</t>
  </si>
  <si>
    <t>Attend Gartner EITL Spring Peer Forum 2019 and talk to your peers on best practices</t>
  </si>
  <si>
    <t>Balance trust and accountability against user experience and cost while seeking new authentication methods</t>
  </si>
  <si>
    <t>Best Practices for Selecting New User Authentication Methods</t>
  </si>
  <si>
    <t>https://www.gartner.com/document/code/315526?ref=grbody&amp;refval=3625017</t>
  </si>
  <si>
    <t>For end-user password usage and administration, leverage research:</t>
  </si>
  <si>
    <t>Four Kinds of Password Management</t>
  </si>
  <si>
    <t>https://www.gartner.com/document/3625017?ref=customproposal</t>
  </si>
  <si>
    <t>Attend Gartner Security &amp; Risk Management Summit 2019 and meet with Analysts, Vendors, and Peers who specialize in PAM</t>
  </si>
  <si>
    <t>Use this research to evaluate various cost-effective authentication options available for workforce local access</t>
  </si>
  <si>
    <t>Balance Trust and Agility With Good Authentication Choices for Workforce Local Access</t>
  </si>
  <si>
    <t>https://www.gartner.com/document/code/299953?ref=grbody&amp;refval=3800163</t>
  </si>
  <si>
    <t>Prepare for presentation of PAM strategy to executive leadership. Discuss audience, key messages, potential questions and approach to presentation</t>
  </si>
  <si>
    <t>Review communications core and plan with LP to confirm approach and discuss ongoing effective communications</t>
  </si>
  <si>
    <t>Redefine your best practices for managing people and things across diverse platforms</t>
  </si>
  <si>
    <t>Predicts 2018: Identity and Access Management</t>
  </si>
  <si>
    <t>https://www.gartner.com/document/3834576?ref=customproposal</t>
  </si>
  <si>
    <t>Discuss balanced scorecards and effective methods of providing program effectiveness with analyst</t>
  </si>
  <si>
    <t>Start with maturity self assessment document</t>
  </si>
  <si>
    <t>It Score for Data and Analytics</t>
  </si>
  <si>
    <t>Attend SIG : DNA Leader Huddle</t>
  </si>
  <si>
    <t>Engage with analyst on organization structure under and above the office of the CDO for deploying a successful Data Organization</t>
  </si>
  <si>
    <t xml:space="preserve">Attend Fall Peer Forum. Connect with a peer member regarding </t>
  </si>
  <si>
    <t>How can I mobilise data driven initiatives?</t>
  </si>
  <si>
    <t>https://community.gartner.com/t5/Data-Analytics/How-can-I-mobilise-data-driven-initiatives/m-p/82426#M3975</t>
  </si>
  <si>
    <t>Review foundational Research documents on building an effective Data and Analytics strategy</t>
  </si>
  <si>
    <t>LP call to discuss current state assessment and build a remediation plan</t>
  </si>
  <si>
    <t xml:space="preserve">Paramount to making an enterprise more data-driven is influencing its organizational culture. View below research to know more - </t>
  </si>
  <si>
    <t>How Chief Data Officers Show Leadership in Influencing the Data-Driven Culture</t>
  </si>
  <si>
    <t>https://www.gartner.com/document/3398017?ref=customproposal</t>
  </si>
  <si>
    <t xml:space="preserve">Review Research to understand new types of skills and roles required </t>
  </si>
  <si>
    <t>Fresh Hot Roles for the Information-Savvy Organization</t>
  </si>
  <si>
    <t>https://www.gartner.com/document/3881366?ref=customproposal</t>
  </si>
  <si>
    <t>Consultation on deriving successful outcomes from below Research</t>
  </si>
  <si>
    <t>How CDOs Engage With Their Stakeholders to Foster Data Literacy and Deliver Measurable Business Value</t>
  </si>
  <si>
    <t>https://www.gartner.com/document/3870307?ref=customproposal</t>
  </si>
  <si>
    <t xml:space="preserve">Attend Data and Analytics Summit </t>
  </si>
  <si>
    <t>Leverage Research to assess the current data and analytics governance initiatives and keep them relevant to business needs</t>
  </si>
  <si>
    <t>https://www.gartner.com/document/3872914?ref=customproposal</t>
  </si>
  <si>
    <t>Attend EITL Spring Peer Forum 2019</t>
  </si>
  <si>
    <t>Engage with analyst on best practices for D&amp;A governance initiatives</t>
  </si>
  <si>
    <t>Refer to Research for recognizing a new symbiosis across the infrastructure, the organization and approach</t>
  </si>
  <si>
    <t>https://www.gartner.com/document/3645917?ref=customproposal</t>
  </si>
  <si>
    <t>Leverage Research to understand how AI can revolutionize data strategy</t>
  </si>
  <si>
    <t>Revolutionize Product Information Management by Means of Disruptive Artificial Intelligence</t>
  </si>
  <si>
    <t>https://www.gartner.com/document/3876010?ref=customproposal</t>
  </si>
  <si>
    <t>Use Research to create concrete, measurable metrics that link data and analytics initiatives to information, business and stakeholder value</t>
  </si>
  <si>
    <t xml:space="preserve">Attend Gartner Data and Analytics Summit in Orlando, 18-21 March
</t>
  </si>
  <si>
    <t xml:space="preserve">Collaborate with peer member regarding </t>
  </si>
  <si>
    <t>Design Thinking training with a data and analytics focus?</t>
  </si>
  <si>
    <t>https://community.gartner.com/t/design-thinking-training-with-a-data-and-analytics-focus/4748/1</t>
  </si>
  <si>
    <t xml:space="preserve">Monthly call with your Leadership Partner </t>
  </si>
  <si>
    <t>Review Research and understand the future of this industry</t>
  </si>
  <si>
    <t>Data Analytics framework and tools</t>
  </si>
  <si>
    <t>https://community.gartner.com/t5/Data-Analytics/Data-Analytics-framework-and-tools/m-p/69893#M2994</t>
  </si>
  <si>
    <t>View Research for strategic planning assumptions for enhancing the vision and plans.</t>
  </si>
  <si>
    <t>100 Data and Analytics Predictions Through 2022</t>
  </si>
  <si>
    <t>https://www.gartner.com/document/3875982?ref=customproposal</t>
  </si>
  <si>
    <t>LP call to discuss and plan for next steps</t>
  </si>
  <si>
    <t>Review current state of the Enterprise Architecture capability and assess for potential gaps and challenges.  Discuss desired future state.</t>
  </si>
  <si>
    <t>Engage with analysts like Jack Santos to discuss how to start/restart Enterprise Architecture (EA), creating an EA plan how to keep EA and IT relevant</t>
  </si>
  <si>
    <t>: Discuss results of initial ITScore for Enterprise Architecture and Technology Innovation survey and approaches to address gaps</t>
  </si>
  <si>
    <t>Work to address initial EA gaps such as a clearly articulated EA Charter, Guiding Principles, Organizational Structure, etc.</t>
  </si>
  <si>
    <t>:  Analyst briefings Engage with analysts like Mike J. Walker to get advice on emerging business and technology disruptions that EA must focus on, lea</t>
  </si>
  <si>
    <t>To define the nature and scope of MDM &amp; to identify where and how MDM can deliver clear business value</t>
  </si>
  <si>
    <t>Mastering Master Data Management</t>
  </si>
  <si>
    <t>http://www.gartner.com/document/3372017?ref=customproposal</t>
  </si>
  <si>
    <t>Where and How MDM Adds Value to the Business</t>
  </si>
  <si>
    <t>https://www.gartner.com/document/3748765?ref=customproposal</t>
  </si>
  <si>
    <t xml:space="preserve">Engage with analyst about the organizations current data management capability and ensure readiness for MDM </t>
  </si>
  <si>
    <t xml:space="preserve">Outcomes - LP to Validate   </t>
  </si>
  <si>
    <t xml:space="preserve">To identify trends impacting MDM programs and prioritize your investment </t>
  </si>
  <si>
    <t>Hype Cycle for Information Governance and Master Data Management, 2017</t>
  </si>
  <si>
    <t>http://www.gartner.com/document/3769863?ref=customproposal</t>
  </si>
  <si>
    <t>Three Top Trends in Master Data Management Solutions Through 2017</t>
  </si>
  <si>
    <t>http://www.gartner.com/document/3613917?ref=customproposal</t>
  </si>
  <si>
    <t>LP call to discuss current state assessment and identify gap and remediation plan</t>
  </si>
  <si>
    <t>To identify four essential areas for initiating and maintaining MDM and create business case for it</t>
  </si>
  <si>
    <t>Four Essentials for Starting and Supporting MDM</t>
  </si>
  <si>
    <t>http://www.gartner.com/document/3119918?ref=customproposal</t>
  </si>
  <si>
    <t>Toolkit: Building the Business Case for Master Data Management</t>
  </si>
  <si>
    <t>http://www.gartner.com/document/3141718?ref=customproposal</t>
  </si>
  <si>
    <t>Engage analyst to design the roadmap for implementing MDM strategy</t>
  </si>
  <si>
    <t xml:space="preserve">Outcomes - LP to Validate  </t>
  </si>
  <si>
    <t>To identify critical capabilities for MDM solutions and identify the most suitable vendors</t>
  </si>
  <si>
    <t>Critical Capabilities for Master Data Management Solutions</t>
  </si>
  <si>
    <t>https://www.gartner.com/document/3839470?ref=customproposal</t>
  </si>
  <si>
    <t>Magic Quadrant for Master Data Management Solutions</t>
  </si>
  <si>
    <t>https://www.gartner.com/document/3822063?ref=customproposal</t>
  </si>
  <si>
    <t xml:space="preserve">Discuss MDM strategy with LP by proposing the created plan   </t>
  </si>
  <si>
    <t xml:space="preserve">To identify building blocks of MDMs and develop metrics to ensure effective MDM </t>
  </si>
  <si>
    <t>Developing Metrics for Successful Master Data Management</t>
  </si>
  <si>
    <t>http://www.gartner.com/document/3160619?ref=customproposal</t>
  </si>
  <si>
    <t>Use the 7 Building Blocks of MDM to Achieve Success in the Digital Age</t>
  </si>
  <si>
    <t>http://www.gartner.com/document/3867866?ref=customproposal</t>
  </si>
  <si>
    <t xml:space="preserve">Leverage analyst to analyze the critical steps in MDM strategy and determine how to use analytics to improve efficiency </t>
  </si>
  <si>
    <t xml:space="preserve">Use this peer connect to successfully create and implement MDM strategy </t>
  </si>
  <si>
    <t>Master Data Management</t>
  </si>
  <si>
    <t>https://community.gartner.com/gartner/plugins/common/feature/saml/doauth/post?idp=gartner.com&amp;login=true&amp;TARGET=https%3A%2F%2Fcommunity.gartner.com%2Ft5%2FData-Analytics%2FMaster-Data-Management%2Fm-p%2F65376%2Fthread-id%2F2674#M2674</t>
  </si>
  <si>
    <t>Build your own Master Data Management tool using Microsoft Suite of tools</t>
  </si>
  <si>
    <t>https://community.gartner.com/t5/Data-Analytics/Build-your-own-Master-Data-Management-tool-using-Microsoft-Suite/m-p/70468/thread-id/3072</t>
  </si>
  <si>
    <t xml:space="preserve">Discuss the progress with LP, identify roadblocks and next steps </t>
  </si>
  <si>
    <t>To select the right model style to optimize MDM deployment and assure success</t>
  </si>
  <si>
    <t>Optimize MDM Deployments by Choosing the Right MDM Data Model Style</t>
  </si>
  <si>
    <t>https://www.gartner.com/document/3811863?ref=customproposal</t>
  </si>
  <si>
    <t xml:space="preserve">To assess the impacts of regulation upon their information governance and MDM programs </t>
  </si>
  <si>
    <t>The Impacts of the General Data Protection Regulation on MDM</t>
  </si>
  <si>
    <t>https://www.gartner.com/document/3738054?ref=customproposal</t>
  </si>
  <si>
    <t>Engage analyst to evaluate the impact on MDM strategy on business outcome</t>
  </si>
  <si>
    <t>To understand meta-identity approach using MDM principles in architecture and design to manage complex identity issues in IOT systems</t>
  </si>
  <si>
    <t>Use Master Data Management Principles for Identity Management in the Internet of Things</t>
  </si>
  <si>
    <t>http://www.gartner.com/document/3593817?ref=customproposal</t>
  </si>
  <si>
    <t>To identify best postmodern ERP strategies to to satisfy business needs with more agility and flexibility</t>
  </si>
  <si>
    <t>The 10 Ugly Truths of Postmodern ERP</t>
  </si>
  <si>
    <t>http://www.gartner.com/document/3266626?ref=customproposal</t>
  </si>
  <si>
    <t>Postmodern ERP Strategies Primer for 2018</t>
  </si>
  <si>
    <t>http://www.gartner.com/document/3850465?ref=customproposal</t>
  </si>
  <si>
    <t>Engage with analyst about the organizations current capability and ensure readiness for postmodern ERP transformation</t>
  </si>
  <si>
    <t>To identify when ERP replacement is necessary and ensure adoption of postmodern ERP strategy</t>
  </si>
  <si>
    <t>How CIOs Must Influence Change and Transformation in Adopting a Postmodern ERP Strategy</t>
  </si>
  <si>
    <t>http://www.gartner.com/document/3849311?ref=customproposal</t>
  </si>
  <si>
    <t>Identify When ERP Replacement Is Required to Enable Digital Business Transformation</t>
  </si>
  <si>
    <t>http://www.gartner.com/document/3871239?ref=customproposal</t>
  </si>
  <si>
    <t>To help create a postmodern ERP strategy, refer research:</t>
  </si>
  <si>
    <t>http://www.gartner.com/document/3665417?ref=customproposal</t>
  </si>
  <si>
    <t>http://www.gartner.com/document/3846565?ref=customproposal</t>
  </si>
  <si>
    <t>Engage analyst to design the roadmap for implementing postmodern ERP strategy</t>
  </si>
  <si>
    <t>To develop guiding principles for ERP and assess the root causes leading their organizations to consider switching vendors</t>
  </si>
  <si>
    <t>Three Steps to Create Principles for Postmodern ERP Strategy and Governance</t>
  </si>
  <si>
    <t>http://www.gartner.com/document/3732131?ref=customproposal</t>
  </si>
  <si>
    <t>Should You Change ERP Vendors?</t>
  </si>
  <si>
    <t>http://www.gartner.com/document/3835663?ref=customproposal</t>
  </si>
  <si>
    <t xml:space="preserve">Discuss postmodern ERP strategy with LP by proposing the created plan   </t>
  </si>
  <si>
    <t>To define the roles in ERP implementation and understand how to modernise your strategies for ERP integration</t>
  </si>
  <si>
    <t>Role definition in ERP implementation</t>
  </si>
  <si>
    <t>https://community.gartner.com/t5/Program-and-Portfolio-Management/Role-definition-in-ERP-implementation/m-p/76329#M1001</t>
  </si>
  <si>
    <t>http://www.gartner.com/document/3874898?ref=customproposal</t>
  </si>
  <si>
    <t xml:space="preserve">Engage with analyst to identify critical steps, ensure successful implementation of postmodern ERP strategy and identify any gaps to improve </t>
  </si>
  <si>
    <t xml:space="preserve">Outcomes - LP to Validate    </t>
  </si>
  <si>
    <t>To  execute strategy, governance and organizational change management action plans and to manage ERP investments effectively</t>
  </si>
  <si>
    <t>http://www.gartner.com/document/3665717?ref=customproposal</t>
  </si>
  <si>
    <t>Preparing Your Organization to Execute a Postmodern ERP Strategy</t>
  </si>
  <si>
    <t>http://www.gartner.com/document/3688017?ref=customproposal</t>
  </si>
  <si>
    <t>Discuss the progress with LP, identify roadblocks and next steps</t>
  </si>
  <si>
    <t xml:space="preserve">To address the realities of implementing a postmodern ERP strategy and to help ERP selection teams to choose vendors and software </t>
  </si>
  <si>
    <t>Hype Cycle for Postmodern ERP, 2017</t>
  </si>
  <si>
    <t>http://www.gartner.com/document/3765963?ref=customproposal</t>
  </si>
  <si>
    <t>Select ERP Applications Using a Structured Evaluation Framework</t>
  </si>
  <si>
    <t>http://www.gartner.com/document/3144218?ref=customproposal</t>
  </si>
  <si>
    <t>Engage with analyst to assess the impact of postmodern ERP execution and to improve its performance</t>
  </si>
  <si>
    <t xml:space="preserve">Use Enterprise Business Process Analysis to Improve Postmodern ERP Execution </t>
  </si>
  <si>
    <t>http://www.gartner.com/document/3111221?ref=customproposal</t>
  </si>
  <si>
    <t>To improve project success rates and select SIs with the right expertise</t>
  </si>
  <si>
    <t>Choose the Right Type of System Integrator for Postmodern ERP Implementation</t>
  </si>
  <si>
    <t>http://www.gartner.com/document/3780963?ref=customproposal</t>
  </si>
  <si>
    <t>To address the cultural, transformation and employee-related engagement efforts and focus on benefits realization throughout the ERP life cycle</t>
  </si>
  <si>
    <t>Create Expectations About Success With Postmodern ERP, Don't Just Manage Them</t>
  </si>
  <si>
    <t>http://www.gartner.com/document/3616617?ref=customproposal</t>
  </si>
  <si>
    <t>Postmodern ERP Benefits Realization - Chasing the 'Pot of Gold'</t>
  </si>
  <si>
    <t>http://www.gartner.com/document/3629827?ref=customproposal</t>
  </si>
  <si>
    <t>To develop a world-class enterprise architecture capability</t>
  </si>
  <si>
    <t xml:space="preserve">Build a World-Class EA Discipline Primer for 2018 </t>
  </si>
  <si>
    <t>https://www.gartner.com/document/3842377?ref=customproposal</t>
  </si>
  <si>
    <t>Attend Gartner Enterprise Architecture &amp; Technology Innovation Summit 2018 | 11-12 June | National Harbor, MD</t>
  </si>
  <si>
    <t xml:space="preserve">To determine the current-state maturity and plan for improvements to build a world-class EA capability </t>
  </si>
  <si>
    <t>ITScore for Enterprise Architecture and Technology Innovation</t>
  </si>
  <si>
    <t xml:space="preserve">Discuss how EA can help shape and drive digital strategies including how to ‘intercept’ with existing/large delivery programs  </t>
  </si>
  <si>
    <t>To develop EA by adopting a pragmatic business-outcome-driven approach</t>
  </si>
  <si>
    <t>https://www.gartner.com/document/3642517?ref=customproposal</t>
  </si>
  <si>
    <t>Attend Gartner Symposium / ITXPO 2018 | 14-18 October | Orlando, FL</t>
  </si>
  <si>
    <t>Use this Toolkit to clearly explore the business need for enterprise architecture</t>
  </si>
  <si>
    <t>Toolkit: Determine Your Business Scope and Focus for EA</t>
  </si>
  <si>
    <t>https://www.gartner.com/document/3587233?ref=customproposal</t>
  </si>
  <si>
    <t>Attend Peer Forum 2018 | 14-16 November | San Diego, CA</t>
  </si>
  <si>
    <t>Review EA scope and operating model to best drive digital strategy into real programs of work</t>
  </si>
  <si>
    <t xml:space="preserve">Consult on Emerging trends within EA and propose EA role definitions </t>
  </si>
  <si>
    <t>To define specific roles for the EA team members in your organization</t>
  </si>
  <si>
    <t>Maximize the EA Team's Effectiveness by Defining Team Roles</t>
  </si>
  <si>
    <t>https://www.gartner.com/document/3796166?ref=customproposal</t>
  </si>
  <si>
    <t xml:space="preserve">Peer network with client to understand best practices to improve performance of EA Organizational structures </t>
  </si>
  <si>
    <t xml:space="preserve">Use lean practices to enable increased respect for people and continuous improvement across the value chain </t>
  </si>
  <si>
    <t>How Enterprise Architecture Can Use Lean Practices</t>
  </si>
  <si>
    <t>https://www.gartner.com/document/3798770?ref=customproposal</t>
  </si>
  <si>
    <t xml:space="preserve">Engage with Gartner Analyst to review proposed charter/ role definitions </t>
  </si>
  <si>
    <t>Utilize Peer Connect to review the breadth of the interaction between enterprise architects and business units, from decision making through implement</t>
  </si>
  <si>
    <t>Peer Connect Template: Enterprise Architecture Effectiveness Key Performance Indicators</t>
  </si>
  <si>
    <t>https://www.gartner.com/document/3837864?ref=customproposal</t>
  </si>
  <si>
    <t>To define the governance model for the targeted business outcome. Research :</t>
  </si>
  <si>
    <t>Use Enterprise Architecture to Orchestrate the Delivery of Business Outcomes</t>
  </si>
  <si>
    <t>https://www.gartner.com/document/3718417?ref=customproposal</t>
  </si>
  <si>
    <t>Use "what if" and "what could" analysis to create multiple future-state scenarios before developing detailed deliverable</t>
  </si>
  <si>
    <t>https://www.gartner.com/document/3861164?ref=customproposal</t>
  </si>
  <si>
    <t>To gain actionable insights on cloud migration and to explore roles and responsibilities for cloud computing</t>
  </si>
  <si>
    <t>Cloud Computing Primer for 2018</t>
  </si>
  <si>
    <t>http://www.gartner.com/document/3846063?ref=customproposal</t>
  </si>
  <si>
    <t>What CIOs Need to Know About Cloud Computing Roles and Competencies</t>
  </si>
  <si>
    <t>http://www.gartner.com/document/3417417?ref=customproposal</t>
  </si>
  <si>
    <t>Leverage analyst to assess your current capability and ensure readiness for cloud migration</t>
  </si>
  <si>
    <t>To communicate the benefits of cloud to the business &amp; to capitalize on the opportunities of transitioning finance systems and processes to the cloud</t>
  </si>
  <si>
    <t>Finance Moving to the Cloud: The Steps to Take and the Benefits You Can Expect</t>
  </si>
  <si>
    <t>http://www.gartner.com/document/3419617?ref=customproposal</t>
  </si>
  <si>
    <t>http://www.gartner.com/document/3715018?ref=customproposal</t>
  </si>
  <si>
    <t>To bridge and unify cloud strategy and cloud policy and use framework to bridge the gap between strategy and execution</t>
  </si>
  <si>
    <t>http://www.gartner.com/document/3582218?ref=customproposal</t>
  </si>
  <si>
    <t>A High-Level Framework for Planning Your Migration to Public Cloud Services</t>
  </si>
  <si>
    <t>http://www.gartner.com/document/3746433?ref=customproposal</t>
  </si>
  <si>
    <t>Leverage analyst to identify successful components to plan and formulate the roadmap for cloud migration</t>
  </si>
  <si>
    <t>To assess SOW for external system integrators or service providers and to identify an enterprise approach to cloud migration strategy</t>
  </si>
  <si>
    <t>Cloud Migration Approach</t>
  </si>
  <si>
    <t>https://community.gartner.com/t5/Templates/Cloud-Migration-Approach/ta-p/69546</t>
  </si>
  <si>
    <t>How to Evaluate Integrators' Cloud Office Migration Proposals</t>
  </si>
  <si>
    <t>http://www.gartner.com/document/3754169?ref=customproposal</t>
  </si>
  <si>
    <t xml:space="preserve">Discuss cloud migration strategy with LP by proposing the created plan   </t>
  </si>
  <si>
    <t>To select a migration tool to aid the transition and use a people-centered project framework for cloud migration</t>
  </si>
  <si>
    <t>Market Guide for Cloud Office Migration Tools</t>
  </si>
  <si>
    <t>http://www.gartner.com/document/3837164?ref=customproposal</t>
  </si>
  <si>
    <t>Use a People-Centered Approach to Manage Cloud Office Migration for Business Value</t>
  </si>
  <si>
    <t>http://www.gartner.com/document/3793965?ref=customproposal</t>
  </si>
  <si>
    <t>Leverage analyst to analyze the critical steps in cloud migration strategy</t>
  </si>
  <si>
    <t>To develop a negotiation and risk mitigation strategy and create a cloud migration tiger team to ensure a successful migration process</t>
  </si>
  <si>
    <t>Three Best Practices to Prepare for Public Cloud IaaS Negotiation and Risk Mitigation</t>
  </si>
  <si>
    <t>http://www.gartner.com/document/3876568?ref=customproposal</t>
  </si>
  <si>
    <t>How to Overcome Talent Obstacles for Cloud IaaS Migration</t>
  </si>
  <si>
    <t>http://www.gartner.com/document/3846866?ref=customproposal</t>
  </si>
  <si>
    <t>To enforce governance and select the right approach to optimize your migration efforts</t>
  </si>
  <si>
    <t>Execute a SharePoint 2016 Migration Approach That Reduces Subsequent Effort</t>
  </si>
  <si>
    <t>http://www.gartner.com/document/3821265?ref=customproposal</t>
  </si>
  <si>
    <t>To align your public cloud use cases with optimal provider capabilities</t>
  </si>
  <si>
    <t>Critical Capabilities for Public Cloud Infrastructure Managed Service Providers, Worldwide</t>
  </si>
  <si>
    <t>http://www.gartner.com/document/3873661?ref=customproposal</t>
  </si>
  <si>
    <t>Engage analyst to evaluate the impact on cloud migration strategy on business outcome</t>
  </si>
  <si>
    <t>To ensure that architectural changes preserve security while minimizing impacts on usability and to plan for resiliency in the cloud</t>
  </si>
  <si>
    <t>How to Plan for Resiliency in the Cloud</t>
  </si>
  <si>
    <t>http://www.gartner.com/document/3875507?ref=customproposal</t>
  </si>
  <si>
    <t>Don't Let Cloud Migration Flip Your Network and Put Users in Charge of Enterprise Security</t>
  </si>
  <si>
    <t>http://www.gartner.com/document/3874774?ref=customproposal</t>
  </si>
  <si>
    <t>Attend SIG : DNA Leaders Huddle</t>
  </si>
  <si>
    <t>Start with foundational research material</t>
  </si>
  <si>
    <t>Research Library: Fundamentals for Data Integration Initiatives</t>
  </si>
  <si>
    <t>https://www.gartner.com/document/3872152?ref=customproposal</t>
  </si>
  <si>
    <t>Engage with analyst on enterprise data integration as well as supporting data science efforts</t>
  </si>
  <si>
    <t>Attend EITL Fall Peer Forum. Connect with a peer member regarding</t>
  </si>
  <si>
    <t>Data Lake : Myths And Facts!</t>
  </si>
  <si>
    <t>https://community.gartner.com/gartner/plugins/common/feature/saml/doauth/post?idp=gartner.com&amp;login=true&amp;TARGET=https%3A%2F%2Fcommunity.gartner.com%2Ft5%2FData-Analytics%2FData-Lake-Myths-And-Facts%2Fm-p%2F76557%2Fthread-id%2F3492#M3492</t>
  </si>
  <si>
    <t>LP call to discuss current state assessment and discuss remediation plan</t>
  </si>
  <si>
    <t>Review Research &amp; determine the role of data integration and application integration technology for connecting endpoint systems to their data hubs</t>
  </si>
  <si>
    <t>Infuse Your Data Hub Strategy With Data and Application Integration</t>
  </si>
  <si>
    <t>http://www.gartner.com/document/3840568?ref=customproposal</t>
  </si>
  <si>
    <t>Onsite workshop on data integration capabilities</t>
  </si>
  <si>
    <t>Leverage Research for exploring more on Data Integration tools</t>
  </si>
  <si>
    <t>Critical Capabilities for Data Integration Tools</t>
  </si>
  <si>
    <t>https://www.gartner.com/document/3827463?ref=customproposal</t>
  </si>
  <si>
    <t>Magic Quadrant for Data Integration Tools</t>
  </si>
  <si>
    <t>https://www.gartner.com/document/3777464?ref=customproposal</t>
  </si>
  <si>
    <t xml:space="preserve">Attend Gartner Data and Analytics Summit 
</t>
  </si>
  <si>
    <t>Monthly consultation with LP to discuss the roadmap and progress</t>
  </si>
  <si>
    <t>Refer to Research for implementing three top acts while renewing Data Integration strategies</t>
  </si>
  <si>
    <t>Top Three Acts to Renew Your Data Integration Strategy for Digital Business</t>
  </si>
  <si>
    <t>https://www.gartner.com/document/3810933?ref=customproposal</t>
  </si>
  <si>
    <t xml:space="preserve">Attend Gartner EITL Spring Peer Forum 2019. Connect with a peer member regarding </t>
  </si>
  <si>
    <t>Integration Strategy</t>
  </si>
  <si>
    <t>https://community.gartner.com/t5/IT-Strategy-Planning-Governance/Integration-Strategy/m-p/63054#M3182</t>
  </si>
  <si>
    <t>Collaborate with analyst for trends on integration platform as a service and hybrid integration platform models on data and application integration</t>
  </si>
  <si>
    <t>Consultation on combining different data delivery styles to incorporate a "portfolio based" approach into the data integration strategy</t>
  </si>
  <si>
    <t>Leverage Research and choose the optimal integration architectures, determine bimodal integration approaches and build the shared data access layer</t>
  </si>
  <si>
    <t>How to Drive Self-Service in Data Integration Strategies</t>
  </si>
  <si>
    <t>https://www.gartner.com/document/3822977?ref=customproposal</t>
  </si>
  <si>
    <t>Leverage Research for achieving agility and cost optimization by combining multiple data delivery styles</t>
  </si>
  <si>
    <t>Modernize Your Data Integration Architecture for Digital Business by Combining Data Delivery Styles</t>
  </si>
  <si>
    <t>https://www.gartner.com/document/3803563?ref=customproposal</t>
  </si>
  <si>
    <t>Next-gen corporate data catalogs</t>
  </si>
  <si>
    <t>https://community.gartner.com/t5/Data-Analytics/Next-gen-corporate-data-catalogs/m-p/67223#M2808</t>
  </si>
  <si>
    <t>Review Research to help integration and information leaders take account of the escalating need for data integration</t>
  </si>
  <si>
    <t>IoT Data Proliferation Elevates Data Integration Challenges</t>
  </si>
  <si>
    <t>https://www.gartner.com/document/3221917?ref=customproposal</t>
  </si>
  <si>
    <t xml:space="preserve">LP call to draft an action plan, and agree on engagements steps. Establish cadence, timeframes and critical outcome success factors    </t>
  </si>
  <si>
    <t>To understand the need to respond to the threats and opportunities of digital business and how leadership can reset governance</t>
  </si>
  <si>
    <t>Strategic Planning Essentials in the Digital Age</t>
  </si>
  <si>
    <t>http://www.gartner.com/document/3737517?ref=customproposal</t>
  </si>
  <si>
    <t>http://www.gartner.com/document/3471541?ref=customproposal</t>
  </si>
  <si>
    <t xml:space="preserve">Leverage analyst to discuss strategy, governance and effective communications </t>
  </si>
  <si>
    <t>To identify need to reset governance based on outcomes and making governance more adaptable</t>
  </si>
  <si>
    <t>Enterprise Digital Governance: Resetting Governance for the Digital Age</t>
  </si>
  <si>
    <t>https://www.gartner.com/document/3471542</t>
  </si>
  <si>
    <t>To rethink and plan your EA governance and to use an artful approach to strategy development</t>
  </si>
  <si>
    <t>http://www.gartner.com/document/3854263?ref=customproposal</t>
  </si>
  <si>
    <t>https://www.gartner.com/document/3092222?ref=customproposal</t>
  </si>
  <si>
    <t>Engage analyst to design the roadmap for implementing governance strategy in digital era</t>
  </si>
  <si>
    <t>To define the purpose, scope, responsibilities and investment principles of a governance board and increasing yields on investments</t>
  </si>
  <si>
    <t>https://www.gartner.com/document/2934517?ref=solrAll&amp;refval=198760004&amp;qid=4edf6aac5dea96cf91ac24028b3c76e1</t>
  </si>
  <si>
    <t xml:space="preserve">Discuss governance strategy with LP by proposing the created plan   </t>
  </si>
  <si>
    <t>To establish governance fundamentals and to design an effective governance strategy</t>
  </si>
  <si>
    <t>http://www.gartner.com/document/3816989?ref=customproposal</t>
  </si>
  <si>
    <t>http://www.gartner.com/document/3816972?ref=customproposal</t>
  </si>
  <si>
    <t xml:space="preserve">Connect with analyst on emerging change management and IT governance strategies </t>
  </si>
  <si>
    <t>To explore emerging governance practices and to accelerate digital strategy execution</t>
  </si>
  <si>
    <t>Accelerate Digital Strategy Execution by Achieving Planning Agility</t>
  </si>
  <si>
    <t>https://www.gartner.com/document/3471543?ref=customproposal</t>
  </si>
  <si>
    <t>To establish and manage trust in the myriad digital interactions  and to ensure your success</t>
  </si>
  <si>
    <t>Avoid the 13 Worst EA Practices and Ensure Your Success in the Digital Business Era</t>
  </si>
  <si>
    <t>http://www.gartner.com/document/3845265?ref=customproposal</t>
  </si>
  <si>
    <t>Digital Trust — Redefining Trust for the Digital Era: A Gartner Trend Insight Report</t>
  </si>
  <si>
    <t>http://www.gartner.com/document/3735817?ref=customproposal</t>
  </si>
  <si>
    <t>Engage analyst to evaluate the impact on governance strategy on business outcome</t>
  </si>
  <si>
    <t>To ensure CIO must act as a change agent, influencing and orchestrating the overall transformation</t>
  </si>
  <si>
    <t>CIO Leadership Actions in Enterprise Digital Governance</t>
  </si>
  <si>
    <t>https://www.gartner.com/document/3476018?ref=solrAll&amp;refval=198761495&amp;qid=665c3bc10e0f28bbd7818961026ca2b8</t>
  </si>
  <si>
    <t>To ensure adoption of scenario-based planning in enterprise can help make business and supporting IT strategies more resilient to unforeseen changes</t>
  </si>
  <si>
    <t>https://www.gartner.com/document/2101216?ref=customproposal</t>
  </si>
  <si>
    <t xml:space="preserve">Start with foundational research material </t>
  </si>
  <si>
    <t>Implementing the Data Hub: Architecture and Technology Choices</t>
  </si>
  <si>
    <t>https://www.gartner.com/document/3597517?ref=customproposal</t>
  </si>
  <si>
    <t>Engage with analyst on discussing a roadmap for enterprise data architecture strategies</t>
  </si>
  <si>
    <t xml:space="preserve">Attend EITL Fall Peer Forum. Collaborate with a peer member regarding </t>
  </si>
  <si>
    <t>Technical data architecture vs business data architecture</t>
  </si>
  <si>
    <t>https://community.gartner.com/t5/Enterprise-Architecture-and-BPM/technical-data-architecture-vs-business-data-architecture/m-p/81918#M3118</t>
  </si>
  <si>
    <t>Refer to Research for achieving agility and cost optimization by combining multiple data delivery styles</t>
  </si>
  <si>
    <t>Engage with analyst on best practices for designing good data architecture</t>
  </si>
  <si>
    <t>Leverage Research to develop a logical or physical separation of data acquisition, insight development, optimization and governance</t>
  </si>
  <si>
    <t>Best Practices for Designing Your Data Lake</t>
  </si>
  <si>
    <t>https://www.gartner.com/document/3483017?ref=customproposal</t>
  </si>
  <si>
    <t>Leverage Research to understand the strengths and weaknesses of data lake implementations</t>
  </si>
  <si>
    <t>Chief Data Officers Must Address Three Critical Requirements to Derive Value From Data Lakes</t>
  </si>
  <si>
    <t>https://www.gartner.com/document/3309817?ref=customproposal</t>
  </si>
  <si>
    <t>Monthly call with Leadership Partner to discuss progress and discuss next steps</t>
  </si>
  <si>
    <t xml:space="preserve">Attend EITL Spring Peer Forum. Meet with a peer member regarding </t>
  </si>
  <si>
    <t>Data Architecture maturity assessment models</t>
  </si>
  <si>
    <t>https://community.gartner.com/t5/Enterprise-Architecture-and-BPM/Data-Architecture-maturity-assessment-models/m-p/44517#M1050</t>
  </si>
  <si>
    <t>Attend EITL Spring Peer forum 2019</t>
  </si>
  <si>
    <t>Engage with analyst on the future technical architecture of data and analytics</t>
  </si>
  <si>
    <t>Refer to below Research notes to understand how to evolve data lakes</t>
  </si>
  <si>
    <t>https://www.gartner.com/document/3830145?ref=customproposal</t>
  </si>
  <si>
    <t>Is the Data Lake the Future of the EDW?</t>
  </si>
  <si>
    <t>https://www.gartner.com/document/3165417?ref=customproposal</t>
  </si>
  <si>
    <t>Engage with analyst on the timelines for redesigning data architectures</t>
  </si>
  <si>
    <t>Review Research and make appropriate choices when developing blockchain use cases</t>
  </si>
  <si>
    <t>Understanding Blockchain Platform Architectures and Implementation Styles</t>
  </si>
  <si>
    <t>https://www.gartner.com/document/3627217?ref=customproposal</t>
  </si>
  <si>
    <t>Review Research to support increasingly complex, diverse and distributed data management workloads</t>
  </si>
  <si>
    <t>Data Hubs, Data Lakes and Data Warehouses: Choosing the Core of Your Digital Platform</t>
  </si>
  <si>
    <t>https://www.gartner.com/document/3880364?ref=customproposal</t>
  </si>
  <si>
    <t>Consultation with Leadership Partner on process improvements and future scope</t>
  </si>
  <si>
    <t>Refer to Research for a pragmatic approach to the LDW by leveraging the data management infrastructure model</t>
  </si>
  <si>
    <t xml:space="preserve">Consultation on Data architectures increasingly growing distributed as more data is generated by edge devices </t>
  </si>
  <si>
    <t>SKO Follow up</t>
  </si>
  <si>
    <t>Check-In at 90</t>
  </si>
  <si>
    <t>Check-in at 90</t>
  </si>
  <si>
    <t>Mid-Year Check-in</t>
  </si>
  <si>
    <t xml:space="preserve">To identify analytics best practices and the vendors that will deliver maximum business </t>
  </si>
  <si>
    <t xml:space="preserve">Analytics and BI Strategies Primer for 2018 </t>
  </si>
  <si>
    <t>https://www.gartner.com/document/3847505</t>
  </si>
  <si>
    <t>Engage with analyst to gain insights on modern BI platforms and assess current platform</t>
  </si>
  <si>
    <t>To assess shortcomings and to identify actions for improving maturity of current capability</t>
  </si>
  <si>
    <t xml:space="preserve">IT Score for Data and Analytics </t>
  </si>
  <si>
    <t>Assess Information maturity of the organization</t>
  </si>
  <si>
    <t>https://www.gartner.com/document/3840581</t>
  </si>
  <si>
    <t xml:space="preserve">OUTCOMES – LP to validate </t>
  </si>
  <si>
    <t>Discuss methods, tools and technologies needed for building an Analytics and BI Strategy</t>
  </si>
  <si>
    <t xml:space="preserve">To build a good data and analytics strategy </t>
  </si>
  <si>
    <t>Review Use the Gartner Data and Analytics Compass to Drive Strategy</t>
  </si>
  <si>
    <t>https://www.gartner.com/document/3809567</t>
  </si>
  <si>
    <t>To create new data and analytics roles that are fit for the digital business future</t>
  </si>
  <si>
    <t>Must-Have Roles for Data and Analytics,</t>
  </si>
  <si>
    <t>https://www.gartner.com/document/3500818</t>
  </si>
  <si>
    <t xml:space="preserve">Utilize the peer forums to meet with a Peer member regarding </t>
  </si>
  <si>
    <t xml:space="preserve">Business Intelligence, Governance and Organizational Structure  </t>
  </si>
  <si>
    <t>https://community.gartner.com/gartner/plugins/common/feature/saml/doauth/post?idp=gartner.com&amp;login=true&amp;TARGET=https%3A%2F%2Fcommunity.gartner.com%2Ft5%2FData-Analytics%2FBusiness-Intelligence-Governance-and-Organizational-Structure%2Fm-p%2F50228%2Fthread-id%2F1658#M1658</t>
  </si>
  <si>
    <t xml:space="preserve">Collaborate with Analyst to understand how organizations can apply analytic capabilities to improve performance and optimize decision making </t>
  </si>
  <si>
    <t xml:space="preserve">Data and analytics leaders should use a business-outcome-driven analytics framework to design a high business impact evolution roadmap </t>
  </si>
  <si>
    <t>http://www.gartner.com/document/3820971</t>
  </si>
  <si>
    <t xml:space="preserve">To take simple steps in the areas of people, strategy, governance and technology  </t>
  </si>
  <si>
    <t xml:space="preserve">How to Accelerate Analytics Adoption When Business Intelligence Maturity Is Low </t>
  </si>
  <si>
    <t>Consultation on accelerating the speed of business change, new approach to strategy - one that integrates business models and technology</t>
  </si>
  <si>
    <t>Peer network with client for a brief understanding of the financials including platform ownership costs</t>
  </si>
  <si>
    <t>Enable a broader set of users with new expanded capabilities to increase the business impact of their investments</t>
  </si>
  <si>
    <t>Critical Capabilities for Data and Analytics Service Providers, Worldwide</t>
  </si>
  <si>
    <t>http://www.gartner.com/document/3869976?ref=customproposal</t>
  </si>
  <si>
    <t>Ensure realized value for analytics, which powers decision making in the digital business</t>
  </si>
  <si>
    <t xml:space="preserve">Best Practices for Driving Successful Analytics Governance   </t>
  </si>
  <si>
    <t>https://www.gartner.com/document/3111520</t>
  </si>
  <si>
    <t>Best practices in the implementation of self-service analytics and BI</t>
  </si>
  <si>
    <t>http://www.gartner.com/document/3810889?ref=customproposal</t>
  </si>
  <si>
    <t>To know more about Augmented analytics</t>
  </si>
  <si>
    <t xml:space="preserve">Augmented Analytics Is the Future of Data and Analytics </t>
  </si>
  <si>
    <t>https://www.gartner.com/document/3773164</t>
  </si>
  <si>
    <t xml:space="preserve">Start with research to modernizing their integration strategy and infrastructure and to assess your readiness for a successful migration </t>
  </si>
  <si>
    <t>https://www.gartner.com/document/3778872</t>
  </si>
  <si>
    <t>Modernizing Integration Strategies and Infrastructure Primer for 2018</t>
  </si>
  <si>
    <t>https://www.gartner.com/document/3844669</t>
  </si>
  <si>
    <t>Leverage analyst for insight on key focus areas.  Obtain best-practices for strategy, trends, cloud alternatives, and managed services</t>
  </si>
  <si>
    <t>Know the best practices for data center migration and to strategize, plan and deliver business-outcome-based solutions</t>
  </si>
  <si>
    <t>Planning and Enabling Infrastructure Delivery Primer for 2018</t>
  </si>
  <si>
    <t>https://www.gartner.com/document/code/343941?ref=projectKI&amp;refval=10902</t>
  </si>
  <si>
    <t>Fifteen Best Practices for a Successful Data Center Migration</t>
  </si>
  <si>
    <t>https://www.gartner.com/document/3629823</t>
  </si>
  <si>
    <t>Prioritize components to be addressed: compute, storage, network, physical plant, other</t>
  </si>
  <si>
    <t>To identify trends for data center modernization and infrastructure agility</t>
  </si>
  <si>
    <t>Data Center Modernization and Infrastructure Agility Trends</t>
  </si>
  <si>
    <t>https://www.gartner.com/webinar/3635717</t>
  </si>
  <si>
    <t xml:space="preserve">Consult analyst for input on enterprise data  center strategies &amp; trends,  physical design (cloud &amp; hybrid) </t>
  </si>
  <si>
    <t>To take decision regarding migrating a data center to Cloud IaaS</t>
  </si>
  <si>
    <t>3 Journeys for Migrating a Data Center to Cloud IaaS</t>
  </si>
  <si>
    <t>https://www.gartner.com/smarterwithgartner/3-journeys-for-migrating-a-data-center-to-cloud-iaas/</t>
  </si>
  <si>
    <t>Onsite workshop for advice on strategies and how to proceed with frameworks and roadmaps on Infrastructure modernization</t>
  </si>
  <si>
    <t xml:space="preserve">Progress review call and course correction as needed.  Update engagement plan </t>
  </si>
  <si>
    <t>To compare &amp; contrast strategies and direction  of peer organizations and to plan next generation of IT infrastructure</t>
  </si>
  <si>
    <t>Plan the Next Generation of IT Infrastructure and Operations Organization Structure</t>
  </si>
  <si>
    <t>https://www.gartner.com/document/3548530?ref=customproposal</t>
  </si>
  <si>
    <t>Data Centre Strategy -Consultancy</t>
  </si>
  <si>
    <t>https://community.gartner.com/t5/Cloud-Computing/Data-Centre-Strategy-Consultancy/m-p/62091#M1164</t>
  </si>
  <si>
    <t xml:space="preserve">On emerging trends for DC architecture &amp; modernization, and consideration of on-prem versus cloud solutions </t>
  </si>
  <si>
    <t>Refer peer content to understand data center migration strategy</t>
  </si>
  <si>
    <t>To ensure agile data center and improve its efficiency</t>
  </si>
  <si>
    <t>Make Your Data Center More Agile With Next-Generation HCIS</t>
  </si>
  <si>
    <t>https://www.gartner.com/document/3631218?ref=customproposal</t>
  </si>
  <si>
    <t>Top 25 Techniques for Improving Data Center Efficiency</t>
  </si>
  <si>
    <t>https://www.gartner.com/document/3748984</t>
  </si>
  <si>
    <t>Engage analyst to evaluate the impact of data center migration strategy on business outcome</t>
  </si>
  <si>
    <t>Peer network with one of the clients for best practice sharing on modernizing infrastructure without chaos</t>
  </si>
  <si>
    <t>LP call to review the entire engagement and address future state and other critical priorities</t>
  </si>
  <si>
    <t>act3</t>
  </si>
  <si>
    <t>Key</t>
  </si>
  <si>
    <t>Key Lookup</t>
  </si>
  <si>
    <t>cphone</t>
  </si>
  <si>
    <t>email</t>
  </si>
  <si>
    <t>aquiry</t>
  </si>
  <si>
    <t>abrief</t>
  </si>
  <si>
    <t>work</t>
  </si>
  <si>
    <t>fnet</t>
  </si>
  <si>
    <t>tbd</t>
  </si>
  <si>
    <t>clf</t>
  </si>
  <si>
    <t>sym</t>
  </si>
  <si>
    <t>eve</t>
  </si>
  <si>
    <t>cemail</t>
  </si>
  <si>
    <t>csite</t>
  </si>
  <si>
    <t>ldc</t>
  </si>
  <si>
    <t>sig</t>
  </si>
  <si>
    <t>pf</t>
  </si>
  <si>
    <t>sum</t>
  </si>
  <si>
    <t>pkey</t>
  </si>
  <si>
    <t>Pkey</t>
  </si>
  <si>
    <t>http://iappsdv.gartner.com/ept/index.do#/contactenc/EXP/Mzk4MjM2</t>
  </si>
  <si>
    <t>Enter Your contact URL</t>
  </si>
  <si>
    <t>Client_inititative</t>
  </si>
  <si>
    <t>Initiatives</t>
  </si>
  <si>
    <t>Initiative_1</t>
  </si>
  <si>
    <t>Initiative_2</t>
  </si>
  <si>
    <t>Initiative_3</t>
  </si>
  <si>
    <t>JAN 2019</t>
  </si>
  <si>
    <t>FEB 2019</t>
  </si>
  <si>
    <t>MAR 2019</t>
  </si>
  <si>
    <t>APR 2019</t>
  </si>
  <si>
    <t>MAY 2019</t>
  </si>
  <si>
    <t>JUN 2019</t>
  </si>
  <si>
    <t>JUL 2019</t>
  </si>
  <si>
    <t>AUG 2019</t>
  </si>
  <si>
    <t>SEP 2019</t>
  </si>
  <si>
    <t>OCT 2019</t>
  </si>
  <si>
    <t>NOV 2019</t>
  </si>
  <si>
    <t>DEC 2019</t>
  </si>
  <si>
    <t>JAN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</si>
</sst>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/>
    <xf numFmtId="0" fontId="0" fillId="2" borderId="0" xfId="0" applyFill="1"/>
    <xf numFmtId="49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tabSelected="1" topLeftCell="A7" zoomScale="80" zoomScaleNormal="80" workbookViewId="0">
      <selection activeCell="C9" sqref="C9"/>
    </sheetView>
  </sheetViews>
  <sheetFormatPr defaultRowHeight="14.5" x14ac:dyDescent="0.35"/>
  <cols>
    <col min="1" max="1" width="62" bestFit="1" customWidth="1"/>
    <col min="2" max="2" width="19.7265625" customWidth="1"/>
    <col min="3" max="3" width="13.26953125" customWidth="1"/>
    <col min="4" max="4" width="19.7265625" customWidth="1"/>
    <col min="5" max="5" width="74.6328125" customWidth="1"/>
    <col min="6" max="6" width="31.90625" customWidth="1"/>
    <col min="7" max="7" width="30.6328125" customWidth="1"/>
    <col min="8" max="9" width="8.7265625" customWidth="1"/>
  </cols>
  <sheetData>
    <row r="1" spans="1:10" ht="15" thickBot="1" x14ac:dyDescent="0.4">
      <c r="A1" s="15" t="s">
        <v>4209</v>
      </c>
      <c r="B1" s="12" t="s">
        <v>4210</v>
      </c>
      <c r="C1" s="13" t="s">
        <v>3069</v>
      </c>
      <c r="D1" s="13" t="s">
        <v>3070</v>
      </c>
      <c r="E1" s="13" t="s">
        <v>27</v>
      </c>
      <c r="F1" s="13" t="s">
        <v>28</v>
      </c>
      <c r="G1" s="13" t="s">
        <v>29</v>
      </c>
      <c r="H1" s="13" t="s">
        <v>4206</v>
      </c>
      <c r="I1" s="14" t="s">
        <v>4189</v>
      </c>
      <c r="J1" s="2"/>
    </row>
    <row r="2" spans="1:10" ht="18" customHeight="1" x14ac:dyDescent="0.35">
      <c r="A2" t="s">
        <v>4208</v>
      </c>
      <c r="B2" s="6" t="s">
        <v>4212</v>
      </c>
      <c r="C2" s="7" t="s">
        <v>4217</v>
      </c>
      <c r="D2" s="7" t="s">
        <v>11</v>
      </c>
      <c r="E2" s="7" t="s">
        <v>37</v>
      </c>
      <c r="F2" s="7" t="str">
        <f>IFERROR(VLOOKUP(H2,Activity_type!$C:$E,2,0)," ")</f>
        <v>How to Organize for Efficiency</v>
      </c>
      <c r="G2" s="7" t="str">
        <f>IFERROR(VLOOKUP(H2,Activity_type!$C:$E,3,0)," ")</f>
        <v>https://www.gartner.com/document/3879584</v>
      </c>
      <c r="H2" s="7" t="str">
        <f>CONCATENATE(D2,E2)</f>
        <v xml:space="preserve">Analyst InquiryDiscuss alternative organizational designs and the best fit for your organization. 
</v>
      </c>
      <c r="I2" s="8" t="str">
        <f>VLOOKUP(D2,'Type&amp;Month'!$A$2:$B$17,2,0)</f>
        <v>aquiry</v>
      </c>
    </row>
    <row r="3" spans="1:10" x14ac:dyDescent="0.35">
      <c r="A3" t="s">
        <v>3071</v>
      </c>
      <c r="B3" s="6" t="s">
        <v>4212</v>
      </c>
      <c r="C3" s="7" t="s">
        <v>4217</v>
      </c>
      <c r="D3" s="7" t="s">
        <v>10</v>
      </c>
      <c r="E3" s="7" t="s">
        <v>33</v>
      </c>
      <c r="F3" s="7" t="str">
        <f>IFERROR(VLOOKUP(H3,Activity_type!$C:$E,2,0)," ")</f>
        <v>The Built-to-Purpose IT Organization</v>
      </c>
      <c r="G3" s="7" t="str">
        <f>IFERROR(VLOOKUP(H3,Activity_type!$C:$E,3,0)," ")</f>
        <v>https://www.gartner.com/document/3295117</v>
      </c>
      <c r="H3" s="7" t="str">
        <f t="shared" ref="H3:H16" si="0">CONCATENATE(D3,E3)</f>
        <v xml:space="preserve">EmailReview foundational research on optimizing design of IT.
</v>
      </c>
      <c r="I3" s="8" t="str">
        <f>VLOOKUP(D3,'Type&amp;Month'!$A$2:$B$17,2,0)</f>
        <v>email</v>
      </c>
    </row>
    <row r="4" spans="1:10" x14ac:dyDescent="0.35">
      <c r="B4" s="6" t="s">
        <v>4212</v>
      </c>
      <c r="C4" s="7" t="s">
        <v>4217</v>
      </c>
      <c r="D4" s="7" t="s">
        <v>13</v>
      </c>
      <c r="E4" s="7" t="s">
        <v>325</v>
      </c>
      <c r="F4" s="7" t="str">
        <f>IFERROR(VLOOKUP(H4,Activity_type!$C:$E,2,0)," ")</f>
        <v xml:space="preserve">      Leadership Vision for 2018: Data and Analytics Leader</v>
      </c>
      <c r="G4" s="7" t="str">
        <f>IFERROR(VLOOKUP(H4,Activity_type!$C:$E,3,0)," ")</f>
        <v>https://www.gartner.com/document/3787263</v>
      </c>
      <c r="H4" s="7" t="str">
        <f t="shared" si="0"/>
        <v>Onsite WorkshopProvide support in communicating the Analytics Vision to the organization.</v>
      </c>
      <c r="I4" s="8" t="str">
        <f>VLOOKUP(D4,'Type&amp;Month'!$A$2:$B$17,2,0)</f>
        <v>work</v>
      </c>
    </row>
    <row r="5" spans="1:10" x14ac:dyDescent="0.35">
      <c r="B5" s="6" t="s">
        <v>4212</v>
      </c>
      <c r="C5" s="7" t="s">
        <v>4218</v>
      </c>
      <c r="D5" s="7" t="s">
        <v>19</v>
      </c>
      <c r="E5" s="7" t="s">
        <v>1855</v>
      </c>
      <c r="F5" s="7" t="str">
        <f>IFERROR(VLOOKUP(H5,Activity_type!$C:$E,2,0)," ")</f>
        <v>Toolkit: The CIO's First 100 Days</v>
      </c>
      <c r="G5" s="7" t="str">
        <f>IFERROR(VLOOKUP(H5,Activity_type!$C:$E,3,0)," ")</f>
        <v>https://www.gartner.com/document/3174518</v>
      </c>
      <c r="H5" s="7" t="str">
        <f t="shared" si="0"/>
        <v>Consultation - EmailMeet with new CIO to build First 100 Day Plan to help get up to speed quickly and make an impact.</v>
      </c>
      <c r="I5" s="8" t="str">
        <f>VLOOKUP(D5,'Type&amp;Month'!$A$2:$B$17,2,0)</f>
        <v>cemail</v>
      </c>
    </row>
    <row r="6" spans="1:10" x14ac:dyDescent="0.35">
      <c r="B6" s="6" t="s">
        <v>4212</v>
      </c>
      <c r="C6" s="7" t="s">
        <v>4218</v>
      </c>
      <c r="D6" s="7" t="s">
        <v>9</v>
      </c>
      <c r="E6" s="7" t="s">
        <v>30</v>
      </c>
      <c r="F6" s="7" t="str">
        <f>IFERROR(VLOOKUP(H6,Activity_type!$C:$E,2,0)," ")</f>
        <v>Choose an Organizational Structure for Digital Business</v>
      </c>
      <c r="G6" s="7" t="str">
        <f>IFERROR(VLOOKUP(H6,Activity_type!$C:$E,3,0)," ")</f>
        <v>https://www.gartner.com/document/3872958</v>
      </c>
      <c r="H6" s="7" t="str">
        <f t="shared" si="0"/>
        <v xml:space="preserve">Consultation - PhoneReview existing organization model, discuss options for an optimal IT structure to achieve organization’s future goals. 
</v>
      </c>
      <c r="I6" s="8" t="str">
        <f>VLOOKUP(D6,'Type&amp;Month'!$A$2:$B$17,2,0)</f>
        <v>cphone</v>
      </c>
    </row>
    <row r="7" spans="1:10" x14ac:dyDescent="0.35">
      <c r="B7" s="6" t="s">
        <v>4212</v>
      </c>
      <c r="C7" s="7" t="s">
        <v>4217</v>
      </c>
      <c r="D7" s="7" t="s">
        <v>10</v>
      </c>
      <c r="E7" s="7" t="s">
        <v>40</v>
      </c>
      <c r="F7" s="7" t="str">
        <f>IFERROR(VLOOKUP(H7,Activity_type!$C:$E,2,0)," ")</f>
        <v>IT Organization structure with Roles and Responsibilities</v>
      </c>
      <c r="G7" s="7" t="str">
        <f>IFERROR(VLOOKUP(H7,Activity_type!$C:$E,3,0)," ")</f>
        <v>https://community.gartner.com/t5/The-Think-Tank/IT-Organization-structure-with-Roles-and-Responsibilities/m-p/52809#M1039</v>
      </c>
      <c r="H7" s="7" t="str">
        <f t="shared" si="0"/>
        <v>EmailPeer Conversations:</v>
      </c>
      <c r="I7" s="8" t="str">
        <f>VLOOKUP(D7,'Type&amp;Month'!$A$2:$B$17,2,0)</f>
        <v>email</v>
      </c>
    </row>
    <row r="8" spans="1:10" x14ac:dyDescent="0.35">
      <c r="B8" s="6" t="s">
        <v>4212</v>
      </c>
      <c r="C8" s="7" t="s">
        <v>4222</v>
      </c>
      <c r="D8" s="7" t="s">
        <v>11</v>
      </c>
      <c r="E8" s="7" t="s">
        <v>37</v>
      </c>
      <c r="F8" s="7" t="str">
        <f>IFERROR(VLOOKUP(H8,Activity_type!$C:$E,2,0)," ")</f>
        <v>How to Organize for Efficiency</v>
      </c>
      <c r="G8" s="7" t="str">
        <f>IFERROR(VLOOKUP(H8,Activity_type!$C:$E,3,0)," ")</f>
        <v>https://www.gartner.com/document/3879584</v>
      </c>
      <c r="H8" s="7" t="str">
        <f t="shared" si="0"/>
        <v xml:space="preserve">Analyst InquiryDiscuss alternative organizational designs and the best fit for your organization. 
</v>
      </c>
      <c r="I8" s="8" t="str">
        <f>VLOOKUP(D8,'Type&amp;Month'!$A$2:$B$17,2,0)</f>
        <v>aquiry</v>
      </c>
    </row>
    <row r="9" spans="1:10" x14ac:dyDescent="0.35">
      <c r="B9" s="6" t="s">
        <v>4212</v>
      </c>
      <c r="C9" s="7" t="s">
        <v>4223</v>
      </c>
      <c r="D9" s="7" t="s">
        <v>10</v>
      </c>
      <c r="E9" s="7" t="s">
        <v>44</v>
      </c>
      <c r="F9" s="7" t="str">
        <f>IFERROR(VLOOKUP(H9,Activity_type!$C:$E,2,0)," ")</f>
        <v xml:space="preserve">Organizational Design for Digital Business Outcomes </v>
      </c>
      <c r="G9" s="7" t="str">
        <f>IFERROR(VLOOKUP(H9,Activity_type!$C:$E,3,0)," ")</f>
        <v>https://eod.gartner.com/session-video/SYM26/12h</v>
      </c>
      <c r="H9" s="7" t="str">
        <f t="shared" si="0"/>
        <v xml:space="preserve">EmailLunch and learn event: 
</v>
      </c>
      <c r="I9" s="8" t="str">
        <f>VLOOKUP(D9,'Type&amp;Month'!$A$2:$B$17,2,0)</f>
        <v>email</v>
      </c>
    </row>
    <row r="10" spans="1:10" x14ac:dyDescent="0.35">
      <c r="B10" s="6" t="s">
        <v>4212</v>
      </c>
      <c r="C10" s="7" t="s">
        <v>4224</v>
      </c>
      <c r="D10" s="7" t="s">
        <v>12</v>
      </c>
      <c r="E10" s="7" t="s">
        <v>47</v>
      </c>
      <c r="F10" s="7" t="str">
        <f>IFERROR(VLOOKUP(H10,Activity_type!$C:$E,2,0)," ")</f>
        <v>Designing and Implementing the I&amp;T Operating Model: Components and Interdependencies</v>
      </c>
      <c r="G10" s="7" t="str">
        <f>IFERROR(VLOOKUP(H10,Activity_type!$C:$E,3,0)," ")</f>
        <v>https://www.gartner.com/document/3832573</v>
      </c>
      <c r="H10" s="7" t="str">
        <f t="shared" si="0"/>
        <v>Analyst Briefing(*Optional) Organization Design in the context of the new I&amp;T Operating Model for a Digital Future.</v>
      </c>
      <c r="I10" s="8" t="str">
        <f>VLOOKUP(D10,'Type&amp;Month'!$A$2:$B$17,2,0)</f>
        <v>abrief</v>
      </c>
    </row>
    <row r="11" spans="1:10" x14ac:dyDescent="0.35">
      <c r="B11" s="6" t="s">
        <v>4212</v>
      </c>
      <c r="C11" s="7" t="s">
        <v>4223</v>
      </c>
      <c r="D11" s="7" t="s">
        <v>9</v>
      </c>
      <c r="E11" s="7" t="s">
        <v>30</v>
      </c>
      <c r="F11" s="7" t="str">
        <f>IFERROR(VLOOKUP(H11,Activity_type!$C:$E,2,0)," ")</f>
        <v>Choose an Organizational Structure for Digital Business</v>
      </c>
      <c r="G11" s="7" t="str">
        <f>IFERROR(VLOOKUP(H11,Activity_type!$C:$E,3,0)," ")</f>
        <v>https://www.gartner.com/document/3872958</v>
      </c>
      <c r="H11" s="7" t="str">
        <f t="shared" si="0"/>
        <v xml:space="preserve">Consultation - PhoneReview existing organization model, discuss options for an optimal IT structure to achieve organization’s future goals. 
</v>
      </c>
      <c r="I11" s="8" t="str">
        <f>VLOOKUP(D11,'Type&amp;Month'!$A$2:$B$17,2,0)</f>
        <v>cphone</v>
      </c>
    </row>
    <row r="12" spans="1:10" x14ac:dyDescent="0.35">
      <c r="B12" s="6" t="s">
        <v>4212</v>
      </c>
      <c r="C12" s="7" t="s">
        <v>4224</v>
      </c>
      <c r="D12" s="7" t="s">
        <v>11</v>
      </c>
      <c r="E12" s="7" t="s">
        <v>55</v>
      </c>
      <c r="F12" s="7" t="str">
        <f>IFERROR(VLOOKUP(H12,Activity_type!$C:$E,2,0)," ")</f>
        <v xml:space="preserve">Adopt a New I&amp;O Operating Model and Organization Design for Digital </v>
      </c>
      <c r="G12" s="7" t="str">
        <f>IFERROR(VLOOKUP(H12,Activity_type!$C:$E,3,0)," ")</f>
        <v>https://www.gartner.com/document/3865565</v>
      </c>
      <c r="H12" s="7" t="str">
        <f t="shared" si="0"/>
        <v xml:space="preserve">Analyst InquiryDiscuss moving business units to a product-oriented design. Start with the I&amp;O organization.
</v>
      </c>
      <c r="I12" s="8" t="str">
        <f>VLOOKUP(D12,'Type&amp;Month'!$A$2:$B$17,2,0)</f>
        <v>aquiry</v>
      </c>
    </row>
    <row r="13" spans="1:10" x14ac:dyDescent="0.35">
      <c r="B13" s="6" t="s">
        <v>4212</v>
      </c>
      <c r="C13" s="7" t="s">
        <v>4225</v>
      </c>
      <c r="D13" s="7" t="s">
        <v>11</v>
      </c>
      <c r="E13" s="7" t="s">
        <v>98</v>
      </c>
      <c r="F13" s="7" t="str">
        <f>IFERROR(VLOOKUP(H13,Activity_type!$C:$E,2,0)," ")</f>
        <v>Data Catalogs Are the New Black in Data Management and Analytics</v>
      </c>
      <c r="G13" s="7" t="str">
        <f>IFERROR(VLOOKUP(H13,Activity_type!$C:$E,3,0)," ")</f>
        <v>https://www.gartner.com/document/3837968?ref=customproposal</v>
      </c>
      <c r="H13" s="7" t="str">
        <f t="shared" si="0"/>
        <v>Analyst InquiryLinking data catalog projects to broader data management needs &amp; achieving their full potential in facilitating data monetization.</v>
      </c>
      <c r="I13" s="8" t="str">
        <f>VLOOKUP(D13,'Type&amp;Month'!$A$2:$B$17,2,0)</f>
        <v>aquiry</v>
      </c>
    </row>
    <row r="14" spans="1:10" x14ac:dyDescent="0.35">
      <c r="B14" s="6" t="s">
        <v>4212</v>
      </c>
      <c r="C14" s="7" t="s">
        <v>4226</v>
      </c>
      <c r="D14" s="7" t="s">
        <v>11</v>
      </c>
      <c r="E14" s="7" t="s">
        <v>37</v>
      </c>
      <c r="F14" s="7" t="str">
        <f>IFERROR(VLOOKUP(H14,Activity_type!$C:$E,2,0)," ")</f>
        <v>How to Organize for Efficiency</v>
      </c>
      <c r="G14" s="7" t="str">
        <f>IFERROR(VLOOKUP(H14,Activity_type!$C:$E,3,0)," ")</f>
        <v>https://www.gartner.com/document/3879584</v>
      </c>
      <c r="H14" s="7" t="str">
        <f t="shared" si="0"/>
        <v xml:space="preserve">Analyst InquiryDiscuss alternative organizational designs and the best fit for your organization. 
</v>
      </c>
      <c r="I14" s="8" t="str">
        <f>VLOOKUP(D14,'Type&amp;Month'!$A$2:$B$17,2,0)</f>
        <v>aquiry</v>
      </c>
    </row>
    <row r="15" spans="1:10" x14ac:dyDescent="0.35">
      <c r="B15" s="6" t="s">
        <v>4212</v>
      </c>
      <c r="C15" s="7" t="s">
        <v>4226</v>
      </c>
      <c r="D15" s="7" t="s">
        <v>12</v>
      </c>
      <c r="E15" s="7" t="s">
        <v>344</v>
      </c>
      <c r="F15" s="7" t="str">
        <f>IFERROR(VLOOKUP(H15,Activity_type!$C:$E,2,0)," ")</f>
        <v>Putting Data and Analytics at the Heart of Your Digital Platform</v>
      </c>
      <c r="G15" s="7" t="str">
        <f>IFERROR(VLOOKUP(H15,Activity_type!$C:$E,3,0)," ")</f>
        <v>https://www.gartnereventsondemand.com/session-video/SYM27/31b</v>
      </c>
      <c r="H15" s="7" t="str">
        <f t="shared" si="0"/>
        <v xml:space="preserve">Analyst BriefingBased on Symposium session: </v>
      </c>
      <c r="I15" s="8" t="str">
        <f>VLOOKUP(D15,'Type&amp;Month'!$A$2:$B$17,2,0)</f>
        <v>abrief</v>
      </c>
    </row>
    <row r="16" spans="1:10" x14ac:dyDescent="0.35">
      <c r="B16" s="6" t="s">
        <v>4212</v>
      </c>
      <c r="C16" s="7" t="s">
        <v>4227</v>
      </c>
      <c r="D16" s="7" t="s">
        <v>11</v>
      </c>
      <c r="E16" s="7" t="s">
        <v>166</v>
      </c>
      <c r="F16" s="7" t="str">
        <f>IFERROR(VLOOKUP(H16,Activity_type!$C:$E,2,0)," ")</f>
        <v>Innovation Insight for API-Based Digital Commerce</v>
      </c>
      <c r="G16" s="7" t="str">
        <f>IFERROR(VLOOKUP(H16,Activity_type!$C:$E,3,0)," ")</f>
        <v>http://www.gartner.com/document/3855704?ref=customproposal</v>
      </c>
      <c r="H16" s="7" t="str">
        <f t="shared" si="0"/>
        <v>Analyst InquiryInquiry on expanding digital Commerce capabilities.</v>
      </c>
      <c r="I16" s="8" t="str">
        <f>VLOOKUP(D16,'Type&amp;Month'!$A$2:$B$17,2,0)</f>
        <v>aquiry</v>
      </c>
    </row>
    <row r="17" spans="2:9" x14ac:dyDescent="0.35">
      <c r="B17" s="6" t="s">
        <v>4213</v>
      </c>
      <c r="C17" s="7" t="s">
        <v>4216</v>
      </c>
      <c r="D17" s="7" t="s">
        <v>11</v>
      </c>
      <c r="E17" s="7" t="s">
        <v>37</v>
      </c>
      <c r="F17" s="7" t="str">
        <f>IFERROR(VLOOKUP(H17,Activity_type!$C:$E,2,0)," ")</f>
        <v>How to Organize for Efficiency</v>
      </c>
      <c r="G17" s="7" t="str">
        <f>IFERROR(VLOOKUP(H17,Activity_type!$C:$E,3,0)," ")</f>
        <v>https://www.gartner.com/document/3879584</v>
      </c>
      <c r="H17" s="7" t="str">
        <f>CONCATENATE(D17,E17)</f>
        <v xml:space="preserve">Analyst InquiryDiscuss alternative organizational designs and the best fit for your organization. 
</v>
      </c>
      <c r="I17" s="8" t="str">
        <f>VLOOKUP(D17,'Type&amp;Month'!$A$2:$B$17,2,0)</f>
        <v>aquiry</v>
      </c>
    </row>
    <row r="18" spans="2:9" x14ac:dyDescent="0.35">
      <c r="B18" s="6" t="s">
        <v>4213</v>
      </c>
      <c r="C18" s="7" t="s">
        <v>4216</v>
      </c>
      <c r="D18" s="7" t="s">
        <v>10</v>
      </c>
      <c r="E18" s="7" t="s">
        <v>33</v>
      </c>
      <c r="F18" s="7" t="str">
        <f>IFERROR(VLOOKUP(H18,Activity_type!$C:$E,2,0)," ")</f>
        <v>The Built-to-Purpose IT Organization</v>
      </c>
      <c r="G18" s="7" t="str">
        <f>IFERROR(VLOOKUP(H18,Activity_type!$C:$E,3,0)," ")</f>
        <v>https://www.gartner.com/document/3295117</v>
      </c>
      <c r="H18" s="7" t="str">
        <f t="shared" ref="H18:H31" si="1">CONCATENATE(D18,E18)</f>
        <v xml:space="preserve">EmailReview foundational research on optimizing design of IT.
</v>
      </c>
      <c r="I18" s="8" t="str">
        <f>VLOOKUP(D18,'Type&amp;Month'!$A$2:$B$17,2,0)</f>
        <v>email</v>
      </c>
    </row>
    <row r="19" spans="2:9" x14ac:dyDescent="0.35">
      <c r="B19" s="6" t="s">
        <v>4213</v>
      </c>
      <c r="C19" s="7" t="s">
        <v>4216</v>
      </c>
      <c r="D19" s="7" t="s">
        <v>13</v>
      </c>
      <c r="E19" s="7" t="s">
        <v>325</v>
      </c>
      <c r="F19" s="7" t="str">
        <f>IFERROR(VLOOKUP(H19,Activity_type!$C:$E,2,0)," ")</f>
        <v xml:space="preserve">      Leadership Vision for 2018: Data and Analytics Leader</v>
      </c>
      <c r="G19" s="7" t="str">
        <f>IFERROR(VLOOKUP(H19,Activity_type!$C:$E,3,0)," ")</f>
        <v>https://www.gartner.com/document/3787263</v>
      </c>
      <c r="H19" s="7" t="str">
        <f t="shared" si="1"/>
        <v>Onsite WorkshopProvide support in communicating the Analytics Vision to the organization.</v>
      </c>
      <c r="I19" s="8" t="str">
        <f>VLOOKUP(D19,'Type&amp;Month'!$A$2:$B$17,2,0)</f>
        <v>work</v>
      </c>
    </row>
    <row r="20" spans="2:9" x14ac:dyDescent="0.35">
      <c r="B20" s="6" t="s">
        <v>4213</v>
      </c>
      <c r="C20" s="7" t="s">
        <v>4216</v>
      </c>
      <c r="D20" s="7" t="s">
        <v>19</v>
      </c>
      <c r="E20" s="7" t="s">
        <v>1855</v>
      </c>
      <c r="F20" s="7" t="str">
        <f>IFERROR(VLOOKUP(H20,Activity_type!$C:$E,2,0)," ")</f>
        <v>Toolkit: The CIO's First 100 Days</v>
      </c>
      <c r="G20" s="7" t="str">
        <f>IFERROR(VLOOKUP(H20,Activity_type!$C:$E,3,0)," ")</f>
        <v>https://www.gartner.com/document/3174518</v>
      </c>
      <c r="H20" s="7" t="str">
        <f t="shared" si="1"/>
        <v>Consultation - EmailMeet with new CIO to build First 100 Day Plan to help get up to speed quickly and make an impact.</v>
      </c>
      <c r="I20" s="8" t="str">
        <f>VLOOKUP(D20,'Type&amp;Month'!$A$2:$B$17,2,0)</f>
        <v>cemail</v>
      </c>
    </row>
    <row r="21" spans="2:9" x14ac:dyDescent="0.35">
      <c r="B21" s="6" t="s">
        <v>4213</v>
      </c>
      <c r="C21" s="7" t="s">
        <v>4217</v>
      </c>
      <c r="D21" s="7" t="s">
        <v>9</v>
      </c>
      <c r="E21" s="7" t="s">
        <v>30</v>
      </c>
      <c r="F21" s="7" t="str">
        <f>IFERROR(VLOOKUP(H21,Activity_type!$C:$E,2,0)," ")</f>
        <v>Choose an Organizational Structure for Digital Business</v>
      </c>
      <c r="G21" s="7" t="str">
        <f>IFERROR(VLOOKUP(H21,Activity_type!$C:$E,3,0)," ")</f>
        <v>https://www.gartner.com/document/3872958</v>
      </c>
      <c r="H21" s="7" t="str">
        <f t="shared" si="1"/>
        <v xml:space="preserve">Consultation - PhoneReview existing organization model, discuss options for an optimal IT structure to achieve organization’s future goals. 
</v>
      </c>
      <c r="I21" s="8" t="str">
        <f>VLOOKUP(D21,'Type&amp;Month'!$A$2:$B$17,2,0)</f>
        <v>cphone</v>
      </c>
    </row>
    <row r="22" spans="2:9" x14ac:dyDescent="0.35">
      <c r="B22" s="6" t="s">
        <v>4213</v>
      </c>
      <c r="C22" s="7" t="s">
        <v>4216</v>
      </c>
      <c r="D22" s="7" t="s">
        <v>10</v>
      </c>
      <c r="E22" s="7" t="s">
        <v>40</v>
      </c>
      <c r="F22" s="7" t="str">
        <f>IFERROR(VLOOKUP(H22,Activity_type!$C:$E,2,0)," ")</f>
        <v>IT Organization structure with Roles and Responsibilities</v>
      </c>
      <c r="G22" s="7" t="str">
        <f>IFERROR(VLOOKUP(H22,Activity_type!$C:$E,3,0)," ")</f>
        <v>https://community.gartner.com/t5/The-Think-Tank/IT-Organization-structure-with-Roles-and-Responsibilities/m-p/52809#M1039</v>
      </c>
      <c r="H22" s="7" t="str">
        <f t="shared" si="1"/>
        <v>EmailPeer Conversations:</v>
      </c>
      <c r="I22" s="8" t="str">
        <f>VLOOKUP(D22,'Type&amp;Month'!$A$2:$B$17,2,0)</f>
        <v>email</v>
      </c>
    </row>
    <row r="23" spans="2:9" x14ac:dyDescent="0.35">
      <c r="B23" s="6" t="s">
        <v>4213</v>
      </c>
      <c r="C23" s="7" t="s">
        <v>4217</v>
      </c>
      <c r="D23" s="7" t="s">
        <v>11</v>
      </c>
      <c r="E23" s="7" t="s">
        <v>37</v>
      </c>
      <c r="F23" s="7" t="str">
        <f>IFERROR(VLOOKUP(H23,Activity_type!$C:$E,2,0)," ")</f>
        <v>How to Organize for Efficiency</v>
      </c>
      <c r="G23" s="7" t="str">
        <f>IFERROR(VLOOKUP(H23,Activity_type!$C:$E,3,0)," ")</f>
        <v>https://www.gartner.com/document/3879584</v>
      </c>
      <c r="H23" s="7" t="str">
        <f t="shared" si="1"/>
        <v xml:space="preserve">Analyst InquiryDiscuss alternative organizational designs and the best fit for your organization. 
</v>
      </c>
      <c r="I23" s="8" t="str">
        <f>VLOOKUP(D23,'Type&amp;Month'!$A$2:$B$17,2,0)</f>
        <v>aquiry</v>
      </c>
    </row>
    <row r="24" spans="2:9" x14ac:dyDescent="0.35">
      <c r="B24" s="6" t="s">
        <v>4213</v>
      </c>
      <c r="C24" s="7" t="s">
        <v>4222</v>
      </c>
      <c r="D24" s="7" t="s">
        <v>10</v>
      </c>
      <c r="E24" s="7" t="s">
        <v>44</v>
      </c>
      <c r="F24" s="7" t="str">
        <f>IFERROR(VLOOKUP(H24,Activity_type!$C:$E,2,0)," ")</f>
        <v xml:space="preserve">Organizational Design for Digital Business Outcomes </v>
      </c>
      <c r="G24" s="7" t="str">
        <f>IFERROR(VLOOKUP(H24,Activity_type!$C:$E,3,0)," ")</f>
        <v>https://eod.gartner.com/session-video/SYM26/12h</v>
      </c>
      <c r="H24" s="7" t="str">
        <f t="shared" si="1"/>
        <v xml:space="preserve">EmailLunch and learn event: 
</v>
      </c>
      <c r="I24" s="8" t="str">
        <f>VLOOKUP(D24,'Type&amp;Month'!$A$2:$B$17,2,0)</f>
        <v>email</v>
      </c>
    </row>
    <row r="25" spans="2:9" x14ac:dyDescent="0.35">
      <c r="B25" s="6" t="s">
        <v>4213</v>
      </c>
      <c r="C25" s="7" t="s">
        <v>4223</v>
      </c>
      <c r="D25" s="7" t="s">
        <v>12</v>
      </c>
      <c r="E25" s="7" t="s">
        <v>47</v>
      </c>
      <c r="F25" s="7" t="str">
        <f>IFERROR(VLOOKUP(H25,Activity_type!$C:$E,2,0)," ")</f>
        <v>Designing and Implementing the I&amp;T Operating Model: Components and Interdependencies</v>
      </c>
      <c r="G25" s="7" t="str">
        <f>IFERROR(VLOOKUP(H25,Activity_type!$C:$E,3,0)," ")</f>
        <v>https://www.gartner.com/document/3832573</v>
      </c>
      <c r="H25" s="7" t="str">
        <f t="shared" si="1"/>
        <v>Analyst Briefing(*Optional) Organization Design in the context of the new I&amp;T Operating Model for a Digital Future.</v>
      </c>
      <c r="I25" s="8" t="str">
        <f>VLOOKUP(D25,'Type&amp;Month'!$A$2:$B$17,2,0)</f>
        <v>abrief</v>
      </c>
    </row>
    <row r="26" spans="2:9" x14ac:dyDescent="0.35">
      <c r="B26" s="6" t="s">
        <v>4213</v>
      </c>
      <c r="C26" s="7" t="s">
        <v>4224</v>
      </c>
      <c r="D26" s="7" t="s">
        <v>9</v>
      </c>
      <c r="E26" s="7" t="s">
        <v>30</v>
      </c>
      <c r="F26" s="7" t="str">
        <f>IFERROR(VLOOKUP(H26,Activity_type!$C:$E,2,0)," ")</f>
        <v>Choose an Organizational Structure for Digital Business</v>
      </c>
      <c r="G26" s="7" t="str">
        <f>IFERROR(VLOOKUP(H26,Activity_type!$C:$E,3,0)," ")</f>
        <v>https://www.gartner.com/document/3872958</v>
      </c>
      <c r="H26" s="7" t="str">
        <f t="shared" si="1"/>
        <v xml:space="preserve">Consultation - PhoneReview existing organization model, discuss options for an optimal IT structure to achieve organization’s future goals. 
</v>
      </c>
      <c r="I26" s="8" t="str">
        <f>VLOOKUP(D26,'Type&amp;Month'!$A$2:$B$17,2,0)</f>
        <v>cphone</v>
      </c>
    </row>
    <row r="27" spans="2:9" x14ac:dyDescent="0.35">
      <c r="B27" s="6" t="s">
        <v>4213</v>
      </c>
      <c r="C27" s="7" t="s">
        <v>4223</v>
      </c>
      <c r="D27" s="7" t="s">
        <v>11</v>
      </c>
      <c r="E27" s="7" t="s">
        <v>55</v>
      </c>
      <c r="F27" s="7" t="str">
        <f>IFERROR(VLOOKUP(H27,Activity_type!$C:$E,2,0)," ")</f>
        <v xml:space="preserve">Adopt a New I&amp;O Operating Model and Organization Design for Digital </v>
      </c>
      <c r="G27" s="7" t="str">
        <f>IFERROR(VLOOKUP(H27,Activity_type!$C:$E,3,0)," ")</f>
        <v>https://www.gartner.com/document/3865565</v>
      </c>
      <c r="H27" s="7" t="str">
        <f t="shared" si="1"/>
        <v xml:space="preserve">Analyst InquiryDiscuss moving business units to a product-oriented design. Start with the I&amp;O organization.
</v>
      </c>
      <c r="I27" s="8" t="str">
        <f>VLOOKUP(D27,'Type&amp;Month'!$A$2:$B$17,2,0)</f>
        <v>aquiry</v>
      </c>
    </row>
    <row r="28" spans="2:9" x14ac:dyDescent="0.35">
      <c r="B28" s="6" t="s">
        <v>4213</v>
      </c>
      <c r="C28" s="7" t="s">
        <v>4224</v>
      </c>
      <c r="D28" s="7" t="s">
        <v>11</v>
      </c>
      <c r="E28" s="7" t="s">
        <v>98</v>
      </c>
      <c r="F28" s="7" t="str">
        <f>IFERROR(VLOOKUP(H28,Activity_type!$C:$E,2,0)," ")</f>
        <v>Data Catalogs Are the New Black in Data Management and Analytics</v>
      </c>
      <c r="G28" s="7" t="str">
        <f>IFERROR(VLOOKUP(H28,Activity_type!$C:$E,3,0)," ")</f>
        <v>https://www.gartner.com/document/3837968?ref=customproposal</v>
      </c>
      <c r="H28" s="7" t="str">
        <f t="shared" si="1"/>
        <v>Analyst InquiryLinking data catalog projects to broader data management needs &amp; achieving their full potential in facilitating data monetization.</v>
      </c>
      <c r="I28" s="8" t="str">
        <f>VLOOKUP(D28,'Type&amp;Month'!$A$2:$B$17,2,0)</f>
        <v>aquiry</v>
      </c>
    </row>
    <row r="29" spans="2:9" x14ac:dyDescent="0.35">
      <c r="B29" s="6" t="s">
        <v>4213</v>
      </c>
      <c r="C29" s="7" t="s">
        <v>4225</v>
      </c>
      <c r="D29" s="7" t="s">
        <v>11</v>
      </c>
      <c r="E29" s="7" t="s">
        <v>37</v>
      </c>
      <c r="F29" s="7" t="str">
        <f>IFERROR(VLOOKUP(H29,Activity_type!$C:$E,2,0)," ")</f>
        <v>How to Organize for Efficiency</v>
      </c>
      <c r="G29" s="7" t="str">
        <f>IFERROR(VLOOKUP(H29,Activity_type!$C:$E,3,0)," ")</f>
        <v>https://www.gartner.com/document/3879584</v>
      </c>
      <c r="H29" s="7" t="str">
        <f t="shared" si="1"/>
        <v xml:space="preserve">Analyst InquiryDiscuss alternative organizational designs and the best fit for your organization. 
</v>
      </c>
      <c r="I29" s="8" t="str">
        <f>VLOOKUP(D29,'Type&amp;Month'!$A$2:$B$17,2,0)</f>
        <v>aquiry</v>
      </c>
    </row>
    <row r="30" spans="2:9" x14ac:dyDescent="0.35">
      <c r="B30" s="6" t="s">
        <v>4213</v>
      </c>
      <c r="C30" s="7" t="s">
        <v>4226</v>
      </c>
      <c r="D30" s="7" t="s">
        <v>12</v>
      </c>
      <c r="E30" s="7" t="s">
        <v>344</v>
      </c>
      <c r="F30" s="7" t="str">
        <f>IFERROR(VLOOKUP(H30,Activity_type!$C:$E,2,0)," ")</f>
        <v>Putting Data and Analytics at the Heart of Your Digital Platform</v>
      </c>
      <c r="G30" s="7" t="str">
        <f>IFERROR(VLOOKUP(H30,Activity_type!$C:$E,3,0)," ")</f>
        <v>https://www.gartnereventsondemand.com/session-video/SYM27/31b</v>
      </c>
      <c r="H30" s="7" t="str">
        <f t="shared" si="1"/>
        <v xml:space="preserve">Analyst BriefingBased on Symposium session: </v>
      </c>
      <c r="I30" s="8" t="str">
        <f>VLOOKUP(D30,'Type&amp;Month'!$A$2:$B$17,2,0)</f>
        <v>abrief</v>
      </c>
    </row>
    <row r="31" spans="2:9" x14ac:dyDescent="0.35">
      <c r="B31" s="6" t="s">
        <v>4213</v>
      </c>
      <c r="C31" s="7" t="s">
        <v>4226</v>
      </c>
      <c r="D31" s="7" t="s">
        <v>11</v>
      </c>
      <c r="E31" s="7" t="s">
        <v>166</v>
      </c>
      <c r="F31" s="7" t="str">
        <f>IFERROR(VLOOKUP(H31,Activity_type!$C:$E,2,0)," ")</f>
        <v>Innovation Insight for API-Based Digital Commerce</v>
      </c>
      <c r="G31" s="7" t="str">
        <f>IFERROR(VLOOKUP(H31,Activity_type!$C:$E,3,0)," ")</f>
        <v>http://www.gartner.com/document/3855704?ref=customproposal</v>
      </c>
      <c r="H31" s="7" t="str">
        <f t="shared" si="1"/>
        <v>Analyst InquiryInquiry on expanding digital Commerce capabilities.</v>
      </c>
      <c r="I31" s="8" t="str">
        <f>VLOOKUP(D31,'Type&amp;Month'!$A$2:$B$17,2,0)</f>
        <v>aquiry</v>
      </c>
    </row>
    <row r="32" spans="2:9" x14ac:dyDescent="0.35">
      <c r="B32" s="6" t="s">
        <v>4214</v>
      </c>
      <c r="C32" s="7" t="s">
        <v>4216</v>
      </c>
      <c r="D32" s="7" t="s">
        <v>11</v>
      </c>
      <c r="E32" s="7" t="s">
        <v>37</v>
      </c>
      <c r="F32" s="7" t="str">
        <f>IFERROR(VLOOKUP(H32,Activity_type!$C:$E,2,0)," ")</f>
        <v>How to Organize for Efficiency</v>
      </c>
      <c r="G32" s="7" t="str">
        <f>IFERROR(VLOOKUP(H32,Activity_type!$C:$E,3,0)," ")</f>
        <v>https://www.gartner.com/document/3879584</v>
      </c>
      <c r="H32" s="7" t="str">
        <f>CONCATENATE(D32,E32)</f>
        <v xml:space="preserve">Analyst InquiryDiscuss alternative organizational designs and the best fit for your organization. 
</v>
      </c>
      <c r="I32" s="8" t="str">
        <f>VLOOKUP(D32,'Type&amp;Month'!$A$2:$B$17,2,0)</f>
        <v>aquiry</v>
      </c>
    </row>
    <row r="33" spans="2:9" x14ac:dyDescent="0.35">
      <c r="B33" s="6" t="s">
        <v>4214</v>
      </c>
      <c r="C33" s="7" t="s">
        <v>4216</v>
      </c>
      <c r="D33" s="7" t="s">
        <v>10</v>
      </c>
      <c r="E33" s="7" t="s">
        <v>33</v>
      </c>
      <c r="F33" s="7" t="str">
        <f>IFERROR(VLOOKUP(H33,Activity_type!$C:$E,2,0)," ")</f>
        <v>The Built-to-Purpose IT Organization</v>
      </c>
      <c r="G33" s="7" t="str">
        <f>IFERROR(VLOOKUP(H33,Activity_type!$C:$E,3,0)," ")</f>
        <v>https://www.gartner.com/document/3295117</v>
      </c>
      <c r="H33" s="7" t="str">
        <f t="shared" ref="H33:H46" si="2">CONCATENATE(D33,E33)</f>
        <v xml:space="preserve">EmailReview foundational research on optimizing design of IT.
</v>
      </c>
      <c r="I33" s="8" t="str">
        <f>VLOOKUP(D33,'Type&amp;Month'!$A$2:$B$17,2,0)</f>
        <v>email</v>
      </c>
    </row>
    <row r="34" spans="2:9" x14ac:dyDescent="0.35">
      <c r="B34" s="6" t="s">
        <v>4214</v>
      </c>
      <c r="C34" s="7" t="s">
        <v>4216</v>
      </c>
      <c r="D34" s="7" t="s">
        <v>13</v>
      </c>
      <c r="E34" s="7" t="s">
        <v>325</v>
      </c>
      <c r="F34" s="7" t="str">
        <f>IFERROR(VLOOKUP(H34,Activity_type!$C:$E,2,0)," ")</f>
        <v xml:space="preserve">      Leadership Vision for 2018: Data and Analytics Leader</v>
      </c>
      <c r="G34" s="7" t="str">
        <f>IFERROR(VLOOKUP(H34,Activity_type!$C:$E,3,0)," ")</f>
        <v>https://www.gartner.com/document/3787263</v>
      </c>
      <c r="H34" s="7" t="str">
        <f t="shared" si="2"/>
        <v>Onsite WorkshopProvide support in communicating the Analytics Vision to the organization.</v>
      </c>
      <c r="I34" s="8" t="str">
        <f>VLOOKUP(D34,'Type&amp;Month'!$A$2:$B$17,2,0)</f>
        <v>work</v>
      </c>
    </row>
    <row r="35" spans="2:9" x14ac:dyDescent="0.35">
      <c r="B35" s="6" t="s">
        <v>4214</v>
      </c>
      <c r="C35" s="7" t="s">
        <v>4217</v>
      </c>
      <c r="D35" s="7" t="s">
        <v>19</v>
      </c>
      <c r="E35" s="7" t="s">
        <v>1855</v>
      </c>
      <c r="F35" s="7" t="str">
        <f>IFERROR(VLOOKUP(H35,Activity_type!$C:$E,2,0)," ")</f>
        <v>Toolkit: The CIO's First 100 Days</v>
      </c>
      <c r="G35" s="7" t="str">
        <f>IFERROR(VLOOKUP(H35,Activity_type!$C:$E,3,0)," ")</f>
        <v>https://www.gartner.com/document/3174518</v>
      </c>
      <c r="H35" s="7" t="str">
        <f t="shared" si="2"/>
        <v>Consultation - EmailMeet with new CIO to build First 100 Day Plan to help get up to speed quickly and make an impact.</v>
      </c>
      <c r="I35" s="8" t="str">
        <f>VLOOKUP(D35,'Type&amp;Month'!$A$2:$B$17,2,0)</f>
        <v>cemail</v>
      </c>
    </row>
    <row r="36" spans="2:9" x14ac:dyDescent="0.35">
      <c r="B36" s="6" t="s">
        <v>4214</v>
      </c>
      <c r="C36" s="7" t="s">
        <v>4216</v>
      </c>
      <c r="D36" s="7" t="s">
        <v>9</v>
      </c>
      <c r="E36" s="7" t="s">
        <v>30</v>
      </c>
      <c r="F36" s="7" t="str">
        <f>IFERROR(VLOOKUP(H36,Activity_type!$C:$E,2,0)," ")</f>
        <v>Choose an Organizational Structure for Digital Business</v>
      </c>
      <c r="G36" s="7" t="str">
        <f>IFERROR(VLOOKUP(H36,Activity_type!$C:$E,3,0)," ")</f>
        <v>https://www.gartner.com/document/3872958</v>
      </c>
      <c r="H36" s="7" t="str">
        <f t="shared" si="2"/>
        <v xml:space="preserve">Consultation - PhoneReview existing organization model, discuss options for an optimal IT structure to achieve organization’s future goals. 
</v>
      </c>
      <c r="I36" s="8" t="str">
        <f>VLOOKUP(D36,'Type&amp;Month'!$A$2:$B$17,2,0)</f>
        <v>cphone</v>
      </c>
    </row>
    <row r="37" spans="2:9" x14ac:dyDescent="0.35">
      <c r="B37" s="6" t="s">
        <v>4214</v>
      </c>
      <c r="C37" s="7" t="s">
        <v>4217</v>
      </c>
      <c r="D37" s="7" t="s">
        <v>10</v>
      </c>
      <c r="E37" s="7" t="s">
        <v>40</v>
      </c>
      <c r="F37" s="7" t="str">
        <f>IFERROR(VLOOKUP(H37,Activity_type!$C:$E,2,0)," ")</f>
        <v>IT Organization structure with Roles and Responsibilities</v>
      </c>
      <c r="G37" s="7" t="str">
        <f>IFERROR(VLOOKUP(H37,Activity_type!$C:$E,3,0)," ")</f>
        <v>https://community.gartner.com/t5/The-Think-Tank/IT-Organization-structure-with-Roles-and-Responsibilities/m-p/52809#M1039</v>
      </c>
      <c r="H37" s="7" t="str">
        <f t="shared" si="2"/>
        <v>EmailPeer Conversations:</v>
      </c>
      <c r="I37" s="8" t="str">
        <f>VLOOKUP(D37,'Type&amp;Month'!$A$2:$B$17,2,0)</f>
        <v>email</v>
      </c>
    </row>
    <row r="38" spans="2:9" x14ac:dyDescent="0.35">
      <c r="B38" s="6" t="s">
        <v>4214</v>
      </c>
      <c r="C38" s="7" t="s">
        <v>4222</v>
      </c>
      <c r="D38" s="7" t="s">
        <v>11</v>
      </c>
      <c r="E38" s="7" t="s">
        <v>37</v>
      </c>
      <c r="F38" s="7" t="str">
        <f>IFERROR(VLOOKUP(H38,Activity_type!$C:$E,2,0)," ")</f>
        <v>How to Organize for Efficiency</v>
      </c>
      <c r="G38" s="7" t="str">
        <f>IFERROR(VLOOKUP(H38,Activity_type!$C:$E,3,0)," ")</f>
        <v>https://www.gartner.com/document/3879584</v>
      </c>
      <c r="H38" s="7" t="str">
        <f t="shared" si="2"/>
        <v xml:space="preserve">Analyst InquiryDiscuss alternative organizational designs and the best fit for your organization. 
</v>
      </c>
      <c r="I38" s="8" t="str">
        <f>VLOOKUP(D38,'Type&amp;Month'!$A$2:$B$17,2,0)</f>
        <v>aquiry</v>
      </c>
    </row>
    <row r="39" spans="2:9" x14ac:dyDescent="0.35">
      <c r="B39" s="6" t="s">
        <v>4214</v>
      </c>
      <c r="C39" s="7" t="s">
        <v>4223</v>
      </c>
      <c r="D39" s="7" t="s">
        <v>10</v>
      </c>
      <c r="E39" s="7" t="s">
        <v>44</v>
      </c>
      <c r="F39" s="7" t="str">
        <f>IFERROR(VLOOKUP(H39,Activity_type!$C:$E,2,0)," ")</f>
        <v xml:space="preserve">Organizational Design for Digital Business Outcomes </v>
      </c>
      <c r="G39" s="7" t="str">
        <f>IFERROR(VLOOKUP(H39,Activity_type!$C:$E,3,0)," ")</f>
        <v>https://eod.gartner.com/session-video/SYM26/12h</v>
      </c>
      <c r="H39" s="7" t="str">
        <f t="shared" si="2"/>
        <v xml:space="preserve">EmailLunch and learn event: 
</v>
      </c>
      <c r="I39" s="8" t="str">
        <f>VLOOKUP(D39,'Type&amp;Month'!$A$2:$B$17,2,0)</f>
        <v>email</v>
      </c>
    </row>
    <row r="40" spans="2:9" x14ac:dyDescent="0.35">
      <c r="B40" s="6" t="s">
        <v>4214</v>
      </c>
      <c r="C40" s="7" t="s">
        <v>4224</v>
      </c>
      <c r="D40" s="7" t="s">
        <v>12</v>
      </c>
      <c r="E40" s="7" t="s">
        <v>47</v>
      </c>
      <c r="F40" s="7" t="str">
        <f>IFERROR(VLOOKUP(H40,Activity_type!$C:$E,2,0)," ")</f>
        <v>Designing and Implementing the I&amp;T Operating Model: Components and Interdependencies</v>
      </c>
      <c r="G40" s="7" t="str">
        <f>IFERROR(VLOOKUP(H40,Activity_type!$C:$E,3,0)," ")</f>
        <v>https://www.gartner.com/document/3832573</v>
      </c>
      <c r="H40" s="7" t="str">
        <f t="shared" si="2"/>
        <v>Analyst Briefing(*Optional) Organization Design in the context of the new I&amp;T Operating Model for a Digital Future.</v>
      </c>
      <c r="I40" s="8" t="str">
        <f>VLOOKUP(D40,'Type&amp;Month'!$A$2:$B$17,2,0)</f>
        <v>abrief</v>
      </c>
    </row>
    <row r="41" spans="2:9" x14ac:dyDescent="0.35">
      <c r="B41" s="6" t="s">
        <v>4214</v>
      </c>
      <c r="C41" s="7" t="s">
        <v>4223</v>
      </c>
      <c r="D41" s="7" t="s">
        <v>9</v>
      </c>
      <c r="E41" s="7" t="s">
        <v>30</v>
      </c>
      <c r="F41" s="7" t="str">
        <f>IFERROR(VLOOKUP(H41,Activity_type!$C:$E,2,0)," ")</f>
        <v>Choose an Organizational Structure for Digital Business</v>
      </c>
      <c r="G41" s="7" t="str">
        <f>IFERROR(VLOOKUP(H41,Activity_type!$C:$E,3,0)," ")</f>
        <v>https://www.gartner.com/document/3872958</v>
      </c>
      <c r="H41" s="7" t="str">
        <f t="shared" si="2"/>
        <v xml:space="preserve">Consultation - PhoneReview existing organization model, discuss options for an optimal IT structure to achieve organization’s future goals. 
</v>
      </c>
      <c r="I41" s="8" t="str">
        <f>VLOOKUP(D41,'Type&amp;Month'!$A$2:$B$17,2,0)</f>
        <v>cphone</v>
      </c>
    </row>
    <row r="42" spans="2:9" x14ac:dyDescent="0.35">
      <c r="B42" s="6" t="s">
        <v>4214</v>
      </c>
      <c r="C42" s="7" t="s">
        <v>4224</v>
      </c>
      <c r="D42" s="7" t="s">
        <v>11</v>
      </c>
      <c r="E42" s="7" t="s">
        <v>55</v>
      </c>
      <c r="F42" s="7" t="str">
        <f>IFERROR(VLOOKUP(H42,Activity_type!$C:$E,2,0)," ")</f>
        <v xml:space="preserve">Adopt a New I&amp;O Operating Model and Organization Design for Digital </v>
      </c>
      <c r="G42" s="7" t="str">
        <f>IFERROR(VLOOKUP(H42,Activity_type!$C:$E,3,0)," ")</f>
        <v>https://www.gartner.com/document/3865565</v>
      </c>
      <c r="H42" s="7" t="str">
        <f t="shared" si="2"/>
        <v xml:space="preserve">Analyst InquiryDiscuss moving business units to a product-oriented design. Start with the I&amp;O organization.
</v>
      </c>
      <c r="I42" s="8" t="str">
        <f>VLOOKUP(D42,'Type&amp;Month'!$A$2:$B$17,2,0)</f>
        <v>aquiry</v>
      </c>
    </row>
    <row r="43" spans="2:9" x14ac:dyDescent="0.35">
      <c r="B43" s="6" t="s">
        <v>4214</v>
      </c>
      <c r="C43" s="7" t="s">
        <v>4225</v>
      </c>
      <c r="D43" s="7" t="s">
        <v>11</v>
      </c>
      <c r="E43" s="7" t="s">
        <v>98</v>
      </c>
      <c r="F43" s="7" t="str">
        <f>IFERROR(VLOOKUP(H43,Activity_type!$C:$E,2,0)," ")</f>
        <v>Data Catalogs Are the New Black in Data Management and Analytics</v>
      </c>
      <c r="G43" s="7" t="str">
        <f>IFERROR(VLOOKUP(H43,Activity_type!$C:$E,3,0)," ")</f>
        <v>https://www.gartner.com/document/3837968?ref=customproposal</v>
      </c>
      <c r="H43" s="7" t="str">
        <f t="shared" si="2"/>
        <v>Analyst InquiryLinking data catalog projects to broader data management needs &amp; achieving their full potential in facilitating data monetization.</v>
      </c>
      <c r="I43" s="8" t="str">
        <f>VLOOKUP(D43,'Type&amp;Month'!$A$2:$B$17,2,0)</f>
        <v>aquiry</v>
      </c>
    </row>
    <row r="44" spans="2:9" x14ac:dyDescent="0.35">
      <c r="B44" s="6" t="s">
        <v>4214</v>
      </c>
      <c r="C44" s="7" t="s">
        <v>4226</v>
      </c>
      <c r="D44" s="7" t="s">
        <v>11</v>
      </c>
      <c r="E44" s="7" t="s">
        <v>37</v>
      </c>
      <c r="F44" s="7" t="str">
        <f>IFERROR(VLOOKUP(H44,Activity_type!$C:$E,2,0)," ")</f>
        <v>How to Organize for Efficiency</v>
      </c>
      <c r="G44" s="7" t="str">
        <f>IFERROR(VLOOKUP(H44,Activity_type!$C:$E,3,0)," ")</f>
        <v>https://www.gartner.com/document/3879584</v>
      </c>
      <c r="H44" s="7" t="str">
        <f t="shared" si="2"/>
        <v xml:space="preserve">Analyst InquiryDiscuss alternative organizational designs and the best fit for your organization. 
</v>
      </c>
      <c r="I44" s="8" t="str">
        <f>VLOOKUP(D44,'Type&amp;Month'!$A$2:$B$17,2,0)</f>
        <v>aquiry</v>
      </c>
    </row>
    <row r="45" spans="2:9" x14ac:dyDescent="0.35">
      <c r="B45" s="6" t="s">
        <v>4214</v>
      </c>
      <c r="C45" s="7" t="s">
        <v>4226</v>
      </c>
      <c r="D45" s="7" t="s">
        <v>12</v>
      </c>
      <c r="E45" s="7" t="s">
        <v>344</v>
      </c>
      <c r="F45" s="7" t="str">
        <f>IFERROR(VLOOKUP(H45,Activity_type!$C:$E,2,0)," ")</f>
        <v>Putting Data and Analytics at the Heart of Your Digital Platform</v>
      </c>
      <c r="G45" s="7" t="str">
        <f>IFERROR(VLOOKUP(H45,Activity_type!$C:$E,3,0)," ")</f>
        <v>https://www.gartnereventsondemand.com/session-video/SYM27/31b</v>
      </c>
      <c r="H45" s="7" t="str">
        <f t="shared" si="2"/>
        <v xml:space="preserve">Analyst BriefingBased on Symposium session: </v>
      </c>
      <c r="I45" s="8" t="str">
        <f>VLOOKUP(D45,'Type&amp;Month'!$A$2:$B$17,2,0)</f>
        <v>abrief</v>
      </c>
    </row>
    <row r="46" spans="2:9" ht="15" thickBot="1" x14ac:dyDescent="0.4">
      <c r="B46" s="9" t="s">
        <v>4214</v>
      </c>
      <c r="C46" s="10" t="s">
        <v>4227</v>
      </c>
      <c r="D46" s="10" t="s">
        <v>11</v>
      </c>
      <c r="E46" s="10" t="s">
        <v>166</v>
      </c>
      <c r="F46" s="10" t="str">
        <f>IFERROR(VLOOKUP(H46,Activity_type!$C:$E,2,0)," ")</f>
        <v>Innovation Insight for API-Based Digital Commerce</v>
      </c>
      <c r="G46" s="10" t="str">
        <f>IFERROR(VLOOKUP(H46,Activity_type!$C:$E,3,0)," ")</f>
        <v>http://www.gartner.com/document/3855704?ref=customproposal</v>
      </c>
      <c r="H46" s="10" t="str">
        <f t="shared" si="2"/>
        <v>Analyst InquiryInquiry on expanding digital Commerce capabilities.</v>
      </c>
      <c r="I46" s="11" t="str">
        <f>VLOOKUP(D46,'Type&amp;Month'!$A$2:$B$17,2,0)</f>
        <v>aquiry</v>
      </c>
    </row>
  </sheetData>
  <dataValidations count="15">
    <dataValidation type="list" allowBlank="1" showInputMessage="1" showErrorMessage="1" sqref="E3 E18 E33">
      <formula1>INDIRECT($I$3)</formula1>
    </dataValidation>
    <dataValidation type="list" allowBlank="1" showInputMessage="1" showErrorMessage="1" sqref="E2 E17 E32">
      <formula1>INDIRECT($I$2)</formula1>
    </dataValidation>
    <dataValidation type="list" allowBlank="1" showInputMessage="1" showErrorMessage="1" sqref="E4 E19 E34">
      <formula1>INDIRECT($I$4)</formula1>
    </dataValidation>
    <dataValidation type="list" allowBlank="1" showInputMessage="1" showErrorMessage="1" sqref="E5 E20 E35">
      <formula1>INDIRECT($I$5)</formula1>
    </dataValidation>
    <dataValidation type="list" allowBlank="1" showInputMessage="1" showErrorMessage="1" sqref="E6 E21 E36">
      <formula1>INDIRECT($I$6)</formula1>
    </dataValidation>
    <dataValidation type="list" allowBlank="1" showInputMessage="1" showErrorMessage="1" sqref="E7 E22 E37">
      <formula1>INDIRECT($I$7)</formula1>
    </dataValidation>
    <dataValidation type="list" allowBlank="1" showInputMessage="1" showErrorMessage="1" sqref="E8 E23 E38">
      <formula1>INDIRECT($I$8)</formula1>
    </dataValidation>
    <dataValidation type="list" allowBlank="1" showInputMessage="1" showErrorMessage="1" sqref="E9 E24 E39">
      <formula1>INDIRECT($I$9)</formula1>
    </dataValidation>
    <dataValidation type="list" allowBlank="1" showInputMessage="1" showErrorMessage="1" sqref="E10 E25 E40">
      <formula1>INDIRECT($I$10)</formula1>
    </dataValidation>
    <dataValidation type="list" allowBlank="1" showInputMessage="1" showErrorMessage="1" sqref="E11 E26 E41">
      <formula1>INDIRECT($I$11)</formula1>
    </dataValidation>
    <dataValidation type="list" allowBlank="1" showInputMessage="1" showErrorMessage="1" sqref="E12 E27 E42">
      <formula1>INDIRECT($I$12)</formula1>
    </dataValidation>
    <dataValidation type="list" allowBlank="1" showInputMessage="1" showErrorMessage="1" sqref="E13 E28 E43">
      <formula1>INDIRECT($I$13)</formula1>
    </dataValidation>
    <dataValidation type="list" allowBlank="1" showInputMessage="1" showErrorMessage="1" sqref="E14 E29 E44">
      <formula1>INDIRECT($I$14)</formula1>
    </dataValidation>
    <dataValidation type="list" allowBlank="1" showInputMessage="1" showErrorMessage="1" sqref="E15 E30 E45">
      <formula1>INDIRECT($I$15)</formula1>
    </dataValidation>
    <dataValidation type="list" allowBlank="1" showInputMessage="1" showErrorMessage="1" sqref="E16 E31 E46">
      <formula1>INDIRECT($I$16)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'Type&amp;Month'!$G$2:$G$14</xm:f>
          </x14:formula1>
          <xm:sqref>C2:C46</xm:sqref>
        </x14:dataValidation>
        <x14:dataValidation type="list" allowBlank="1" showInputMessage="1" showErrorMessage="1">
          <x14:formula1>
            <xm:f>'Type&amp;Month'!$A$2:$A$17</xm:f>
          </x14:formula1>
          <xm:sqref>D2:D46</xm:sqref>
        </x14:dataValidation>
        <x14:dataValidation type="list" allowBlank="1" showInputMessage="1" showErrorMessage="1">
          <x14:formula1>
            <xm:f>'Type&amp;Month'!$H$2:$H$4</xm:f>
          </x14:formula1>
          <xm:sqref>B2:B46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30"/>
  <sheetViews>
    <sheetView workbookViewId="0">
      <selection activeCell="C2330" sqref="C2330"/>
    </sheetView>
  </sheetViews>
  <sheetFormatPr defaultRowHeight="14.5" x14ac:dyDescent="0.35"/>
  <cols>
    <col min="1" max="1" width="14.7265625" customWidth="1"/>
    <col min="2" max="3" width="18.7265625" customWidth="1"/>
    <col min="4" max="4" width="72.26953125" customWidth="1"/>
    <col min="5" max="5" width="23.7265625" customWidth="1"/>
    <col min="6" max="6" width="37" customWidth="1"/>
  </cols>
  <sheetData>
    <row r="1" spans="1:6" x14ac:dyDescent="0.35">
      <c r="A1" s="1" t="s">
        <v>26</v>
      </c>
      <c r="B1" s="1" t="s">
        <v>27</v>
      </c>
      <c r="C1" s="1" t="s">
        <v>4207</v>
      </c>
      <c r="D1" s="1" t="s">
        <v>28</v>
      </c>
      <c r="E1" s="1" t="s">
        <v>29</v>
      </c>
      <c r="F1" s="1"/>
    </row>
    <row r="2" spans="1:6" x14ac:dyDescent="0.35">
      <c r="A2" t="s">
        <v>12</v>
      </c>
      <c r="B2" t="s">
        <v>47</v>
      </c>
      <c r="C2" t="str">
        <f>CONCATENATE(A2,B2)</f>
        <v>Analyst Briefing(*Optional) Organization Design in the context of the new I&amp;T Operating Model for a Digital Future.</v>
      </c>
      <c r="D2" t="s">
        <v>48</v>
      </c>
      <c r="E2" t="s">
        <v>49</v>
      </c>
    </row>
    <row r="3" spans="1:6" x14ac:dyDescent="0.35">
      <c r="A3" t="s">
        <v>12</v>
      </c>
      <c r="B3" t="s">
        <v>344</v>
      </c>
      <c r="C3" t="str">
        <f t="shared" ref="C3:C66" si="0">CONCATENATE(A3,B3)</f>
        <v xml:space="preserve">Analyst BriefingBased on Symposium session: </v>
      </c>
      <c r="D3" t="s">
        <v>345</v>
      </c>
      <c r="E3" t="s">
        <v>346</v>
      </c>
    </row>
    <row r="4" spans="1:6" x14ac:dyDescent="0.35">
      <c r="A4" t="s">
        <v>12</v>
      </c>
      <c r="B4" t="s">
        <v>380</v>
      </c>
      <c r="C4" t="str">
        <f t="shared" si="0"/>
        <v xml:space="preserve">Analyst BriefingHow Machine Learning Impacts Business Benefits: How does ML work, and how can it benefit business? What are the challenges &amp; pitfalls? </v>
      </c>
    </row>
    <row r="5" spans="1:6" x14ac:dyDescent="0.35">
      <c r="A5" t="s">
        <v>12</v>
      </c>
      <c r="B5" t="s">
        <v>429</v>
      </c>
      <c r="C5" t="str">
        <f t="shared" si="0"/>
        <v xml:space="preserve">Analyst Briefing(*Optional) Digital Business Demands New IT Operating Models.
</v>
      </c>
    </row>
    <row r="6" spans="1:6" x14ac:dyDescent="0.35">
      <c r="A6" t="s">
        <v>12</v>
      </c>
      <c r="B6" t="s">
        <v>430</v>
      </c>
      <c r="C6" t="str">
        <f t="shared" si="0"/>
        <v>Analyst BriefingFocused on highest priority component e.g. Renewing the Organizational Structure to support future I&amp;T Operating Model.</v>
      </c>
    </row>
    <row r="7" spans="1:6" x14ac:dyDescent="0.35">
      <c r="A7" t="s">
        <v>12</v>
      </c>
      <c r="B7" t="s">
        <v>477</v>
      </c>
      <c r="C7" t="str">
        <f t="shared" si="0"/>
        <v>Analyst BriefingBusiness Strategy Partnership – the CIO’s Most Important Job.</v>
      </c>
    </row>
    <row r="8" spans="1:6" x14ac:dyDescent="0.35">
      <c r="A8" t="s">
        <v>12</v>
      </c>
      <c r="B8" t="s">
        <v>480</v>
      </c>
      <c r="C8" t="str">
        <f t="shared" si="0"/>
        <v xml:space="preserve">Analyst Briefing(*Optional) Business Strategy Partnership – the CIO’s Most Important Job.
</v>
      </c>
    </row>
    <row r="9" spans="1:6" x14ac:dyDescent="0.35">
      <c r="A9" t="s">
        <v>12</v>
      </c>
      <c r="B9" t="s">
        <v>538</v>
      </c>
      <c r="C9" t="str">
        <f t="shared" si="0"/>
        <v xml:space="preserve">Analyst Briefing(*Optional) How to define &amp; effectively communicate KPIs that establish goals and assess progress. 
</v>
      </c>
      <c r="D9" t="s">
        <v>539</v>
      </c>
      <c r="E9" t="s">
        <v>540</v>
      </c>
    </row>
    <row r="10" spans="1:6" x14ac:dyDescent="0.35">
      <c r="A10" t="s">
        <v>12</v>
      </c>
      <c r="B10" t="s">
        <v>544</v>
      </c>
      <c r="C10" t="str">
        <f t="shared" si="0"/>
        <v>Analyst BriefingBased on Symposium session:</v>
      </c>
      <c r="D10" t="s">
        <v>545</v>
      </c>
      <c r="E10" t="s">
        <v>546</v>
      </c>
    </row>
    <row r="11" spans="1:6" x14ac:dyDescent="0.35">
      <c r="A11" t="s">
        <v>12</v>
      </c>
      <c r="B11" t="s">
        <v>633</v>
      </c>
      <c r="C11" t="str">
        <f t="shared" si="0"/>
        <v>Analyst BriefingJump-Start Your Innovation Journey - Customizable Roadmaps for Process, Culture and Outcomes.</v>
      </c>
    </row>
    <row r="12" spans="1:6" x14ac:dyDescent="0.35">
      <c r="A12" t="s">
        <v>12</v>
      </c>
      <c r="B12" t="s">
        <v>708</v>
      </c>
      <c r="C12" t="str">
        <f t="shared" si="0"/>
        <v>Analyst Briefing(*Optional) Roadmap to a Differentiated Digital Customer Experience - session  to lay out a roadmap based on best practices.</v>
      </c>
    </row>
    <row r="13" spans="1:6" x14ac:dyDescent="0.35">
      <c r="A13" t="s">
        <v>12</v>
      </c>
      <c r="B13" t="s">
        <v>773</v>
      </c>
      <c r="C13" t="str">
        <f t="shared" si="0"/>
        <v>Analyst BriefingThe 10 Ugly Truths of Postmodern ERP: session about postmodern ERP scenarios, and how CIOs can mitigate the complexity.</v>
      </c>
    </row>
    <row r="14" spans="1:6" x14ac:dyDescent="0.35">
      <c r="A14" t="s">
        <v>12</v>
      </c>
      <c r="B14" t="s">
        <v>838</v>
      </c>
      <c r="C14" t="str">
        <f t="shared" si="0"/>
        <v>Analyst Briefing(*Optional)How to re-master your leadership style using Gartner's "Six Personas" fit for leading and influencing in a climate of Digital Business.</v>
      </c>
    </row>
    <row r="15" spans="1:6" x14ac:dyDescent="0.35">
      <c r="A15" t="s">
        <v>12</v>
      </c>
      <c r="B15" t="s">
        <v>939</v>
      </c>
      <c r="C15" t="str">
        <f t="shared" si="0"/>
        <v>Analyst BriefingSetting a Strong Foundation: Building Business Acumen in the IT Workforce.</v>
      </c>
    </row>
    <row r="16" spans="1:6" x14ac:dyDescent="0.35">
      <c r="A16" t="s">
        <v>12</v>
      </c>
      <c r="B16" t="s">
        <v>977</v>
      </c>
      <c r="C16" t="str">
        <f t="shared" si="0"/>
        <v xml:space="preserve">Analyst BriefingCreating a culture that is ready for anything - In this session we explore 4 dials that can be used to influence different attributes of culture. 
</v>
      </c>
    </row>
    <row r="17" spans="1:5" x14ac:dyDescent="0.35">
      <c r="A17" t="s">
        <v>12</v>
      </c>
      <c r="B17" t="s">
        <v>1002</v>
      </c>
      <c r="C17" t="str">
        <f t="shared" si="0"/>
        <v>Analyst BriefingExpert led session on how to conduct a more robust assessment of cybersecurity risk to aid decision making on project prioritization &amp; capital spend.</v>
      </c>
    </row>
    <row r="18" spans="1:5" x14ac:dyDescent="0.35">
      <c r="A18" t="s">
        <v>12</v>
      </c>
      <c r="B18" t="s">
        <v>1054</v>
      </c>
      <c r="C18" t="str">
        <f t="shared" si="0"/>
        <v>Analyst BriefingA cloud specialist will describe the state of cloud computing, major strategy elements and will explore tactics critical to driving cloud success.</v>
      </c>
    </row>
    <row r="19" spans="1:5" x14ac:dyDescent="0.35">
      <c r="A19" t="s">
        <v>12</v>
      </c>
      <c r="B19" t="s">
        <v>1095</v>
      </c>
      <c r="C19" t="str">
        <f t="shared" si="0"/>
        <v>Analyst BriefingGuide CIOs on how to tailor governance and extend the governance repertoire to deliver outcomes at the speed of digital business.</v>
      </c>
      <c r="D19" t="s">
        <v>1096</v>
      </c>
      <c r="E19" t="s">
        <v>1097</v>
      </c>
    </row>
    <row r="20" spans="1:5" x14ac:dyDescent="0.35">
      <c r="A20" t="s">
        <v>12</v>
      </c>
      <c r="B20" t="s">
        <v>1137</v>
      </c>
      <c r="C20" t="str">
        <f t="shared" si="0"/>
        <v>Analyst Briefing(*Optional) From APIs to Digital Platforms: API Economy Lessons for Building an Ecosystem.</v>
      </c>
    </row>
    <row r="21" spans="1:5" x14ac:dyDescent="0.35">
      <c r="A21" t="s">
        <v>12</v>
      </c>
      <c r="B21" t="s">
        <v>1221</v>
      </c>
      <c r="C21" t="str">
        <f t="shared" si="0"/>
        <v>Analyst BriefingHow to Implement a Hybrid Integration Platform That Is Truly 'Hybrid'</v>
      </c>
    </row>
    <row r="22" spans="1:5" x14ac:dyDescent="0.35">
      <c r="A22" t="s">
        <v>12</v>
      </c>
      <c r="B22" t="s">
        <v>1304</v>
      </c>
      <c r="C22" t="str">
        <f t="shared" si="0"/>
        <v>Analyst BriefingBimodal Sourcing &amp; Vendor Management: Explore ways to increase speed &amp; agility to satisfy stakeholders that now require a greater sense of urgency.</v>
      </c>
    </row>
    <row r="23" spans="1:5" x14ac:dyDescent="0.35">
      <c r="A23" t="s">
        <v>12</v>
      </c>
      <c r="B23" t="s">
        <v>1349</v>
      </c>
      <c r="C23" t="str">
        <f t="shared" si="0"/>
        <v>Analyst Briefing(*Optional) Session on major milestones in a digital business journey, understand where you are and determine the next steps in the journey.</v>
      </c>
    </row>
    <row r="24" spans="1:5" x14ac:dyDescent="0.35">
      <c r="A24" t="s">
        <v>12</v>
      </c>
      <c r="B24" t="s">
        <v>1391</v>
      </c>
      <c r="C24" t="str">
        <f t="shared" si="0"/>
        <v xml:space="preserve">Analyst Briefing(*optional) Practices required to scale bimodal to the enterprise in order to achieve enterprise agility, continuous innovation and scale. 
</v>
      </c>
      <c r="D24" t="s">
        <v>1392</v>
      </c>
      <c r="E24" t="s">
        <v>1393</v>
      </c>
    </row>
    <row r="25" spans="1:5" x14ac:dyDescent="0.35">
      <c r="A25" t="s">
        <v>12</v>
      </c>
      <c r="B25" t="s">
        <v>1397</v>
      </c>
      <c r="C25" t="str">
        <f t="shared" si="0"/>
        <v>Analyst BriefingPractices required both by the business and IT  to scale bimodal to the enterprise in order to achieve enterprise agility and continuous innovation.</v>
      </c>
      <c r="D25" t="s">
        <v>1392</v>
      </c>
      <c r="E25" t="s">
        <v>1393</v>
      </c>
    </row>
    <row r="26" spans="1:5" x14ac:dyDescent="0.35">
      <c r="A26" t="s">
        <v>12</v>
      </c>
      <c r="B26" t="s">
        <v>1428</v>
      </c>
      <c r="C26" t="str">
        <f t="shared" si="0"/>
        <v>Analyst BriefingThe Future of Digital Government- Platforms and Ecosystems: session on partner ecosystem dynamics that influence citizen service delivery.</v>
      </c>
    </row>
    <row r="27" spans="1:5" x14ac:dyDescent="0.35">
      <c r="A27" t="s">
        <v>12</v>
      </c>
      <c r="B27" t="s">
        <v>1517</v>
      </c>
      <c r="C27" t="str">
        <f t="shared" si="0"/>
        <v>Analyst BriefingPrinciples and Practices of DevOps That I&amp;O Leaders Need to Cultivate.</v>
      </c>
    </row>
    <row r="28" spans="1:5" x14ac:dyDescent="0.35">
      <c r="A28" t="s">
        <v>12</v>
      </c>
      <c r="B28" t="s">
        <v>1870</v>
      </c>
      <c r="C28" t="str">
        <f t="shared" si="0"/>
        <v>Analyst BriefingCIO's Guide to the IT Service Unified Framework: session on handling conflicts between operational practices and strategic goals.</v>
      </c>
    </row>
    <row r="29" spans="1:5" x14ac:dyDescent="0.35">
      <c r="A29" t="s">
        <v>12</v>
      </c>
      <c r="B29" t="s">
        <v>2162</v>
      </c>
      <c r="C29" t="str">
        <f t="shared" si="0"/>
        <v>Analyst BriefingBimodal IT Is the Best Way to Deliver Application Rationalization: How rationalization solutions have changed dramatically in the light of bimodal.</v>
      </c>
    </row>
    <row r="30" spans="1:5" x14ac:dyDescent="0.35">
      <c r="A30" t="s">
        <v>12</v>
      </c>
      <c r="B30" t="s">
        <v>2193</v>
      </c>
      <c r="C30" t="str">
        <f t="shared" si="0"/>
        <v xml:space="preserve">Analyst BriefingState of Data Management - Balancing Collecting Data and Connecting to Data Is the Future.
</v>
      </c>
    </row>
    <row r="31" spans="1:5" x14ac:dyDescent="0.35">
      <c r="A31" t="s">
        <v>12</v>
      </c>
      <c r="B31" t="s">
        <v>2232</v>
      </c>
      <c r="C31" t="str">
        <f t="shared" si="0"/>
        <v xml:space="preserve">Analyst BriefingInquiry on how to use the Gartner SaaS security framework for future enhancements on Office 365 security. </v>
      </c>
      <c r="D31" t="s">
        <v>2233</v>
      </c>
      <c r="E31" t="s">
        <v>2234</v>
      </c>
    </row>
    <row r="32" spans="1:5" x14ac:dyDescent="0.35">
      <c r="A32" t="s">
        <v>12</v>
      </c>
      <c r="B32" t="s">
        <v>2312</v>
      </c>
      <c r="C32" t="str">
        <f t="shared" si="0"/>
        <v>Analyst BriefingCIO Futures: The IT Organization in 2030 - explore a scenario for the structure, roles &amp; capabilities of IT in a hypothetical organization in 2030.</v>
      </c>
      <c r="D32" t="s">
        <v>72</v>
      </c>
      <c r="E32" t="s">
        <v>78</v>
      </c>
    </row>
    <row r="33" spans="1:5" x14ac:dyDescent="0.35">
      <c r="A33" t="s">
        <v>12</v>
      </c>
      <c r="B33" t="s">
        <v>2363</v>
      </c>
      <c r="C33" t="str">
        <f t="shared" si="0"/>
        <v>Analyst BriefingOptimizing cost optimization - What is cost optimization in 2018? How cost transparency supports cost optimization? Which cost initiatives to pursue?</v>
      </c>
    </row>
    <row r="34" spans="1:5" x14ac:dyDescent="0.35">
      <c r="A34" t="s">
        <v>12</v>
      </c>
      <c r="B34" t="s">
        <v>2383</v>
      </c>
      <c r="C34" t="str">
        <f t="shared" si="0"/>
        <v>Analyst BriefingDigital Business Demands New IT Operating Models.</v>
      </c>
    </row>
    <row r="35" spans="1:5" x14ac:dyDescent="0.35">
      <c r="A35" t="s">
        <v>12</v>
      </c>
      <c r="B35" t="s">
        <v>2397</v>
      </c>
      <c r="C35" t="str">
        <f t="shared" si="0"/>
        <v xml:space="preserve">Analyst BriefingDigital Business Demands New IT Operating Models
</v>
      </c>
    </row>
    <row r="36" spans="1:5" x14ac:dyDescent="0.35">
      <c r="A36" t="s">
        <v>12</v>
      </c>
      <c r="B36" t="s">
        <v>2427</v>
      </c>
      <c r="C36" t="str">
        <f t="shared" si="0"/>
        <v>Analyst BriefingDigital Business KPIs - Goals and Metrics That Define Success. How to define &amp; effectively communicate KPIs that establish goals and assess progress.</v>
      </c>
      <c r="D36" t="s">
        <v>539</v>
      </c>
      <c r="E36" t="s">
        <v>540</v>
      </c>
    </row>
    <row r="37" spans="1:5" x14ac:dyDescent="0.35">
      <c r="A37" t="s">
        <v>12</v>
      </c>
      <c r="B37" t="s">
        <v>2447</v>
      </c>
      <c r="C37" t="str">
        <f t="shared" si="0"/>
        <v>Analyst BriefingThis session on adaptive governance will guide CIOs on how to tailor and extend the governance repertoire to deliver outcomes at the speed of digital.</v>
      </c>
      <c r="D37" t="s">
        <v>1096</v>
      </c>
      <c r="E37" t="s">
        <v>1097</v>
      </c>
    </row>
    <row r="38" spans="1:5" x14ac:dyDescent="0.35">
      <c r="A38" t="s">
        <v>12</v>
      </c>
      <c r="B38" t="s">
        <v>2470</v>
      </c>
      <c r="C38" t="str">
        <f t="shared" si="0"/>
        <v>Analyst BriefingState of Data Management - Balancing Collecting Data and Connecting to Data Is the Future</v>
      </c>
    </row>
    <row r="39" spans="1:5" x14ac:dyDescent="0.35">
      <c r="A39" t="s">
        <v>12</v>
      </c>
      <c r="B39" t="s">
        <v>2479</v>
      </c>
      <c r="C39" t="str">
        <f t="shared" si="0"/>
        <v>Analyst BriefingA cloud specialist will address a broad audience to educate &amp; level-set, debunk myths, share trends and best practices, and kick-start the strategy.</v>
      </c>
    </row>
    <row r="40" spans="1:5" x14ac:dyDescent="0.35">
      <c r="A40" t="s">
        <v>12</v>
      </c>
      <c r="B40" t="s">
        <v>2554</v>
      </c>
      <c r="C40" t="str">
        <f t="shared" si="0"/>
        <v>Analyst BriefingHow Machine Learning Impacts Business Benefits: How does machine learning work, and how can it benefit business? What are the challenges &amp; pitfalls.</v>
      </c>
    </row>
    <row r="41" spans="1:5" x14ac:dyDescent="0.35">
      <c r="A41" t="s">
        <v>12</v>
      </c>
      <c r="B41" t="s">
        <v>2584</v>
      </c>
      <c r="C41" t="str">
        <f t="shared" si="0"/>
        <v>Analyst Briefing3-2-1 — A Simple Way for CEOs and CIOs to Discuss Business Technology Alignment.</v>
      </c>
    </row>
    <row r="42" spans="1:5" x14ac:dyDescent="0.35">
      <c r="A42" t="s">
        <v>12</v>
      </c>
      <c r="B42" t="s">
        <v>2610</v>
      </c>
      <c r="C42" t="str">
        <f t="shared" si="0"/>
        <v>Analyst BriefingScaling DevOps Initiatives - how to begin scaling DevOps initiatives by avoiding common pitfalls and facilitating continuous learning from all teams.</v>
      </c>
      <c r="D42" t="s">
        <v>1531</v>
      </c>
      <c r="E42" t="s">
        <v>1532</v>
      </c>
    </row>
    <row r="43" spans="1:5" x14ac:dyDescent="0.35">
      <c r="A43" t="s">
        <v>12</v>
      </c>
      <c r="B43" t="s">
        <v>2655</v>
      </c>
      <c r="C43" t="str">
        <f t="shared" si="0"/>
        <v>Analyst BriefingBimodal Sourcing &amp; Vendor Management - Explore ways to increase speed &amp; agility to satisfy stakeholders that now require a greater sense of urgency.</v>
      </c>
    </row>
    <row r="44" spans="1:5" x14ac:dyDescent="0.35">
      <c r="A44" t="s">
        <v>12</v>
      </c>
      <c r="B44" t="s">
        <v>2681</v>
      </c>
      <c r="C44" t="str">
        <f t="shared" si="0"/>
        <v xml:space="preserve">Analyst BriefingThe 10 Ugly Truths of Postmodern ERP -This session exposes 10 truths about postmodern ERP scenarios, and how CIOs can mitigate this added complexity.
</v>
      </c>
    </row>
    <row r="45" spans="1:5" x14ac:dyDescent="0.35">
      <c r="A45" t="s">
        <v>12</v>
      </c>
      <c r="B45" t="s">
        <v>2697</v>
      </c>
      <c r="C45" t="str">
        <f t="shared" si="0"/>
        <v>Analyst BriefingHow to re-master your leadership style using Gartner's "Six Personas" fit for leading and influencing in a climate of Digital Business change.</v>
      </c>
    </row>
    <row r="46" spans="1:5" x14ac:dyDescent="0.35">
      <c r="A46" t="s">
        <v>12</v>
      </c>
      <c r="B46" t="s">
        <v>2738</v>
      </c>
      <c r="C46" t="str">
        <f t="shared" si="0"/>
        <v>Analyst BriefingRoadmap to a Differentiated Digital Customer Experience - Half day session with a Gartner analyst to lay out a roadmap based on best practices.</v>
      </c>
    </row>
    <row r="47" spans="1:5" x14ac:dyDescent="0.35">
      <c r="A47" t="s">
        <v>12</v>
      </c>
      <c r="B47" t="s">
        <v>2753</v>
      </c>
      <c r="C47" t="str">
        <f t="shared" si="0"/>
        <v>Analyst BriefingCreating a culture that is ready for anything - In this session we explore 4 dials that can be used to to influence different attributes of culture.</v>
      </c>
    </row>
    <row r="48" spans="1:5" x14ac:dyDescent="0.35">
      <c r="A48" t="s">
        <v>12</v>
      </c>
      <c r="B48" t="s">
        <v>2768</v>
      </c>
      <c r="C48" t="str">
        <f t="shared" si="0"/>
        <v>Analyst BriefingBimodal IT Is the Best Way to Deliver Application Rationalization. How rationalization solutions have changed dramatically in the light of bimodal.</v>
      </c>
    </row>
    <row r="49" spans="1:5" x14ac:dyDescent="0.35">
      <c r="A49" t="s">
        <v>12</v>
      </c>
      <c r="B49" t="s">
        <v>2810</v>
      </c>
      <c r="C49" t="str">
        <f t="shared" si="0"/>
        <v>Analyst BriefingSession on best practices in segmenting users and deploying corresponding analytics and BI tools, based on each segment's use cases and requirements</v>
      </c>
      <c r="D49" t="s">
        <v>2811</v>
      </c>
      <c r="E49" t="s">
        <v>337</v>
      </c>
    </row>
    <row r="50" spans="1:5" x14ac:dyDescent="0.35">
      <c r="A50" t="s">
        <v>12</v>
      </c>
      <c r="B50" t="s">
        <v>2830</v>
      </c>
      <c r="C50" t="str">
        <f t="shared" si="0"/>
        <v>Analyst BriefingPutting Data &amp; Analytics at the Heart of Your Digital Platform. How Data &amp; Analytics Drive Better Decision Making. How to determine what to invest in.</v>
      </c>
    </row>
    <row r="51" spans="1:5" x14ac:dyDescent="0.35">
      <c r="A51" t="s">
        <v>12</v>
      </c>
      <c r="B51" t="s">
        <v>2848</v>
      </c>
      <c r="C51" t="str">
        <f t="shared" si="0"/>
        <v>Analyst BriefingPresenting Gartner's insights and advice on becoming a digital-era leader.</v>
      </c>
      <c r="D51" t="s">
        <v>808</v>
      </c>
      <c r="E51" t="s">
        <v>821</v>
      </c>
    </row>
    <row r="52" spans="1:5" x14ac:dyDescent="0.35">
      <c r="A52" t="s">
        <v>12</v>
      </c>
      <c r="B52" t="s">
        <v>2901</v>
      </c>
      <c r="C52" t="str">
        <f t="shared" si="0"/>
        <v>Analyst BriefingHave an analyst briefing session on "Workshop: How to Lead a Digital Workforce Transformation
"</v>
      </c>
    </row>
    <row r="53" spans="1:5" x14ac:dyDescent="0.35">
      <c r="A53" t="s">
        <v>12</v>
      </c>
      <c r="B53" t="s">
        <v>2979</v>
      </c>
      <c r="C53" t="str">
        <f t="shared" si="0"/>
        <v>Analyst Briefing(*Optional) Session to introduce CIOs to product design methods/options and provide a fundamental roadmap to leveraging these techniques.</v>
      </c>
    </row>
    <row r="54" spans="1:5" x14ac:dyDescent="0.35">
      <c r="A54" t="s">
        <v>12</v>
      </c>
      <c r="B54" t="s">
        <v>3003</v>
      </c>
      <c r="C54" t="str">
        <f t="shared" si="0"/>
        <v>Analyst BriefingSession to introduce CIOs to product design methods/options and provide a fundamental roadmap to leveraging these techniques.</v>
      </c>
    </row>
    <row r="55" spans="1:5" x14ac:dyDescent="0.35">
      <c r="A55" t="s">
        <v>12</v>
      </c>
      <c r="B55" t="s">
        <v>3023</v>
      </c>
      <c r="C55" t="str">
        <f t="shared" si="0"/>
        <v>Analyst BriefingBlockchain Revolution: Competing with the Internet of Value- session on implications for competitiveness, business strategy, and leadership.</v>
      </c>
    </row>
    <row r="56" spans="1:5" x14ac:dyDescent="0.35">
      <c r="A56" t="s">
        <v>12</v>
      </c>
      <c r="B56" t="s">
        <v>3042</v>
      </c>
      <c r="C56" t="str">
        <f t="shared" si="0"/>
        <v xml:space="preserve">Analyst BriefingBlockchain Revolution: Competing with the Internet of Value- session on implications for competitiveness, business strategy, and leadership. </v>
      </c>
    </row>
    <row r="57" spans="1:5" x14ac:dyDescent="0.35">
      <c r="A57" t="s">
        <v>12</v>
      </c>
      <c r="B57" t="s">
        <v>3352</v>
      </c>
      <c r="C57" t="str">
        <f t="shared" si="0"/>
        <v>Analyst BriefingITSM Program review with Kenneth Gonzalez to offer guidance on scope and timelines for Cherwell implementation</v>
      </c>
    </row>
    <row r="58" spans="1:5" x14ac:dyDescent="0.35">
      <c r="A58" t="s">
        <v>12</v>
      </c>
      <c r="B58" t="s">
        <v>3941</v>
      </c>
      <c r="C58" t="str">
        <f t="shared" si="0"/>
        <v>Analyst BriefingReview EA scope and operating model to best drive digital strategy into real programs of work</v>
      </c>
    </row>
    <row r="59" spans="1:5" x14ac:dyDescent="0.35">
      <c r="A59" t="s">
        <v>12</v>
      </c>
      <c r="B59" t="s">
        <v>4061</v>
      </c>
      <c r="C59" t="str">
        <f t="shared" si="0"/>
        <v xml:space="preserve">Analyst BriefingConnect with analyst on emerging change management and IT governance strategies </v>
      </c>
    </row>
    <row r="60" spans="1:5" x14ac:dyDescent="0.35">
      <c r="A60" t="s">
        <v>11</v>
      </c>
      <c r="B60" t="s">
        <v>37</v>
      </c>
      <c r="C60" t="str">
        <f t="shared" si="0"/>
        <v xml:space="preserve">Analyst InquiryDiscuss alternative organizational designs and the best fit for your organization. 
</v>
      </c>
      <c r="D60" t="s">
        <v>38</v>
      </c>
      <c r="E60" t="s">
        <v>39</v>
      </c>
    </row>
    <row r="61" spans="1:5" x14ac:dyDescent="0.35">
      <c r="A61" t="s">
        <v>11</v>
      </c>
      <c r="B61" t="s">
        <v>50</v>
      </c>
      <c r="C61" t="str">
        <f t="shared" si="0"/>
        <v>Analyst InquiryInquiry on developing plans for changing the organizational model.</v>
      </c>
    </row>
    <row r="62" spans="1:5" x14ac:dyDescent="0.35">
      <c r="A62" t="s">
        <v>11</v>
      </c>
      <c r="B62" t="s">
        <v>55</v>
      </c>
      <c r="C62" t="str">
        <f t="shared" si="0"/>
        <v xml:space="preserve">Analyst InquiryDiscuss moving business units to a product-oriented design. Start with the I&amp;O organization.
</v>
      </c>
      <c r="D62" t="s">
        <v>56</v>
      </c>
      <c r="E62" t="s">
        <v>57</v>
      </c>
    </row>
    <row r="63" spans="1:5" x14ac:dyDescent="0.35">
      <c r="A63" t="s">
        <v>11</v>
      </c>
      <c r="B63" t="s">
        <v>60</v>
      </c>
      <c r="C63" t="str">
        <f t="shared" si="0"/>
        <v>Analyst InquiryInquiry on process-optimized and functionally segregated IT organizational design.</v>
      </c>
    </row>
    <row r="64" spans="1:5" x14ac:dyDescent="0.35">
      <c r="A64" t="s">
        <v>11</v>
      </c>
      <c r="B64" t="s">
        <v>80</v>
      </c>
      <c r="C64" t="str">
        <f t="shared" si="0"/>
        <v>Analyst InquiryInquiry on how to support and align the IT organizational structure with both IT and business processes.</v>
      </c>
    </row>
    <row r="65" spans="1:5" x14ac:dyDescent="0.35">
      <c r="A65" t="s">
        <v>11</v>
      </c>
      <c r="B65" t="s">
        <v>81</v>
      </c>
      <c r="C65" t="str">
        <f t="shared" si="0"/>
        <v>Analyst InquiryI&amp;T Operating Model - Next Steps</v>
      </c>
    </row>
    <row r="66" spans="1:5" x14ac:dyDescent="0.35">
      <c r="A66" t="s">
        <v>11</v>
      </c>
      <c r="B66" t="s">
        <v>87</v>
      </c>
      <c r="C66" t="str">
        <f t="shared" si="0"/>
        <v>Analyst InquiryDiscuss level of maturity needed to exploit data asset monetization. Leverage ITScore results.</v>
      </c>
      <c r="D66" t="s">
        <v>85</v>
      </c>
      <c r="E66" t="s">
        <v>88</v>
      </c>
    </row>
    <row r="67" spans="1:5" x14ac:dyDescent="0.35">
      <c r="A67" t="s">
        <v>11</v>
      </c>
      <c r="B67" t="s">
        <v>98</v>
      </c>
      <c r="C67" t="str">
        <f t="shared" ref="C67:C130" si="1">CONCATENATE(A67,B67)</f>
        <v>Analyst InquiryLinking data catalog projects to broader data management needs &amp; achieving their full potential in facilitating data monetization.</v>
      </c>
      <c r="D67" t="s">
        <v>99</v>
      </c>
      <c r="E67" t="s">
        <v>100</v>
      </c>
    </row>
    <row r="68" spans="1:5" x14ac:dyDescent="0.35">
      <c r="A68" t="s">
        <v>11</v>
      </c>
      <c r="B68" t="s">
        <v>105</v>
      </c>
      <c r="C68" t="str">
        <f t="shared" si="1"/>
        <v>Analyst InquiryInquiry on approaches to monetizing IoT data.</v>
      </c>
      <c r="D68" t="s">
        <v>106</v>
      </c>
      <c r="E68" t="s">
        <v>107</v>
      </c>
    </row>
    <row r="69" spans="1:5" x14ac:dyDescent="0.35">
      <c r="A69" t="s">
        <v>11</v>
      </c>
      <c r="B69" t="s">
        <v>114</v>
      </c>
      <c r="C69" t="str">
        <f t="shared" si="1"/>
        <v>Analyst InquiryInquiry on deriving value from unprocessed data in data lakes.</v>
      </c>
      <c r="D69" t="s">
        <v>115</v>
      </c>
      <c r="E69" t="s">
        <v>116</v>
      </c>
    </row>
    <row r="70" spans="1:5" x14ac:dyDescent="0.35">
      <c r="A70" t="s">
        <v>11</v>
      </c>
      <c r="B70" t="s">
        <v>120</v>
      </c>
      <c r="C70" t="str">
        <f t="shared" si="1"/>
        <v>Analyst InquiryPredictions on future trends in Data, analytics and business intelligence.</v>
      </c>
      <c r="D70" t="s">
        <v>121</v>
      </c>
      <c r="E70" t="s">
        <v>122</v>
      </c>
    </row>
    <row r="71" spans="1:5" x14ac:dyDescent="0.35">
      <c r="A71" t="s">
        <v>11</v>
      </c>
      <c r="B71" t="s">
        <v>126</v>
      </c>
      <c r="C71" t="str">
        <f t="shared" si="1"/>
        <v xml:space="preserve">Analyst InquiryInquiry on strategies for digital business and digital commerce platforms. </v>
      </c>
      <c r="D71" t="s">
        <v>127</v>
      </c>
      <c r="E71" t="s">
        <v>128</v>
      </c>
    </row>
    <row r="72" spans="1:5" x14ac:dyDescent="0.35">
      <c r="A72" t="s">
        <v>11</v>
      </c>
      <c r="B72" t="s">
        <v>138</v>
      </c>
      <c r="C72" t="str">
        <f t="shared" si="1"/>
        <v>Analyst InquiryInquiry on strategies and technologies needed to manage emerging approaches for successful digital commerce.</v>
      </c>
      <c r="D72" t="s">
        <v>139</v>
      </c>
      <c r="E72" t="s">
        <v>140</v>
      </c>
    </row>
    <row r="73" spans="1:5" x14ac:dyDescent="0.35">
      <c r="A73" t="s">
        <v>11</v>
      </c>
      <c r="B73" t="s">
        <v>148</v>
      </c>
      <c r="C73" t="str">
        <f t="shared" si="1"/>
        <v>Analyst InquiryInquiry on applying AI on digital platforms.</v>
      </c>
    </row>
    <row r="74" spans="1:5" x14ac:dyDescent="0.35">
      <c r="A74" t="s">
        <v>11</v>
      </c>
      <c r="B74" t="s">
        <v>150</v>
      </c>
      <c r="C74" t="str">
        <f t="shared" si="1"/>
        <v>Analyst InquiryInquiry on applying AI on digital commerce platforms.</v>
      </c>
      <c r="D74" t="s">
        <v>151</v>
      </c>
      <c r="E74" t="s">
        <v>152</v>
      </c>
    </row>
    <row r="75" spans="1:5" x14ac:dyDescent="0.35">
      <c r="A75" t="s">
        <v>11</v>
      </c>
      <c r="B75" t="s">
        <v>153</v>
      </c>
      <c r="C75" t="str">
        <f t="shared" si="1"/>
        <v>Analyst InquiryOn incorporating areas that will impact the future of digital commerce in terms of customer experience, business models and emerging technology.</v>
      </c>
      <c r="D75" t="s">
        <v>154</v>
      </c>
      <c r="E75" t="s">
        <v>155</v>
      </c>
    </row>
    <row r="76" spans="1:5" x14ac:dyDescent="0.35">
      <c r="A76" t="s">
        <v>11</v>
      </c>
      <c r="B76" t="s">
        <v>159</v>
      </c>
      <c r="C76" t="str">
        <f t="shared" si="1"/>
        <v>Analyst InquiryInquiry on metrics of success for digital commerce.</v>
      </c>
      <c r="D76" t="s">
        <v>160</v>
      </c>
      <c r="E76" t="s">
        <v>161</v>
      </c>
    </row>
    <row r="77" spans="1:5" x14ac:dyDescent="0.35">
      <c r="A77" t="s">
        <v>11</v>
      </c>
      <c r="B77" t="s">
        <v>166</v>
      </c>
      <c r="C77" t="str">
        <f t="shared" si="1"/>
        <v>Analyst InquiryInquiry on expanding digital Commerce capabilities.</v>
      </c>
      <c r="D77" t="s">
        <v>167</v>
      </c>
      <c r="E77" t="s">
        <v>168</v>
      </c>
    </row>
    <row r="78" spans="1:5" x14ac:dyDescent="0.35">
      <c r="A78" t="s">
        <v>11</v>
      </c>
      <c r="B78" t="s">
        <v>173</v>
      </c>
      <c r="C78" t="str">
        <f t="shared" si="1"/>
        <v>Analyst InquiryInquiry to explore different approaches for mobility in an enterprise.</v>
      </c>
      <c r="D78" t="s">
        <v>174</v>
      </c>
      <c r="E78" t="s">
        <v>175</v>
      </c>
    </row>
    <row r="79" spans="1:5" x14ac:dyDescent="0.35">
      <c r="A79" t="s">
        <v>11</v>
      </c>
      <c r="B79" t="s">
        <v>176</v>
      </c>
      <c r="C79" t="str">
        <f t="shared" si="1"/>
        <v>Analyst InquiryLearn about the 3 categories of mobile technology &amp; how to prioritize investment for the greatest impact.</v>
      </c>
      <c r="D79" t="s">
        <v>177</v>
      </c>
      <c r="E79" t="s">
        <v>178</v>
      </c>
    </row>
    <row r="80" spans="1:5" x14ac:dyDescent="0.35">
      <c r="A80" t="s">
        <v>11</v>
      </c>
      <c r="B80" t="s">
        <v>182</v>
      </c>
      <c r="C80" t="str">
        <f t="shared" si="1"/>
        <v>Analyst InquiryDiscuss the specific decisions to make and to avoid while buying an EMM tool.</v>
      </c>
      <c r="D80" t="s">
        <v>183</v>
      </c>
      <c r="E80" t="s">
        <v>184</v>
      </c>
    </row>
    <row r="81" spans="1:5" x14ac:dyDescent="0.35">
      <c r="A81" t="s">
        <v>11</v>
      </c>
      <c r="B81" t="s">
        <v>196</v>
      </c>
      <c r="C81" t="str">
        <f t="shared" si="1"/>
        <v xml:space="preserve">Analyst InquiryInquiry on how to navigate the cultural, risk, cost and legal/regulatory hurdles of BYOD to expand mobility across the globe. </v>
      </c>
      <c r="D81" t="s">
        <v>193</v>
      </c>
      <c r="E81" t="s">
        <v>194</v>
      </c>
    </row>
    <row r="82" spans="1:5" x14ac:dyDescent="0.35">
      <c r="A82" t="s">
        <v>11</v>
      </c>
      <c r="B82" t="s">
        <v>197</v>
      </c>
      <c r="C82" t="str">
        <f t="shared" si="1"/>
        <v>Analyst InquiryDiscuss scaling EMM and associated challenges. Ideate on how to navigate the cultural, risk, cost and legal hurdles of BYOD to scale mobility.</v>
      </c>
      <c r="D82" t="s">
        <v>198</v>
      </c>
      <c r="E82" t="s">
        <v>199</v>
      </c>
    </row>
    <row r="83" spans="1:5" x14ac:dyDescent="0.35">
      <c r="A83" t="s">
        <v>11</v>
      </c>
      <c r="B83" t="s">
        <v>203</v>
      </c>
      <c r="C83" t="str">
        <f t="shared" si="1"/>
        <v>Analyst InquiryInquiry on how to navigate the cultural, risk, cost and legal/regulatory hurdles of BYOD to expand mobility across the globe.</v>
      </c>
      <c r="D83" t="s">
        <v>193</v>
      </c>
      <c r="E83" t="s">
        <v>194</v>
      </c>
    </row>
    <row r="84" spans="1:5" x14ac:dyDescent="0.35">
      <c r="A84" t="s">
        <v>11</v>
      </c>
      <c r="B84" t="s">
        <v>207</v>
      </c>
      <c r="C84" t="str">
        <f t="shared" si="1"/>
        <v>Analyst InquiryEvaluate the quality of your current endpoint protection and identify next steps to improve resilience.</v>
      </c>
      <c r="D84" t="s">
        <v>208</v>
      </c>
      <c r="E84" t="s">
        <v>209</v>
      </c>
    </row>
    <row r="85" spans="1:5" x14ac:dyDescent="0.35">
      <c r="A85" t="s">
        <v>11</v>
      </c>
      <c r="B85" t="s">
        <v>217</v>
      </c>
      <c r="C85" t="str">
        <f t="shared" si="1"/>
        <v xml:space="preserve">Analyst InquiryLeading the transition to digital government. </v>
      </c>
      <c r="D85" t="s">
        <v>218</v>
      </c>
      <c r="E85" t="s">
        <v>219</v>
      </c>
    </row>
    <row r="86" spans="1:5" x14ac:dyDescent="0.35">
      <c r="A86" t="s">
        <v>11</v>
      </c>
      <c r="B86" t="s">
        <v>229</v>
      </c>
      <c r="C86" t="str">
        <f t="shared" si="1"/>
        <v>Analyst InquiryImproving citizen experience using digital channels.</v>
      </c>
      <c r="D86" t="s">
        <v>230</v>
      </c>
      <c r="E86" t="s">
        <v>231</v>
      </c>
    </row>
    <row r="87" spans="1:5" x14ac:dyDescent="0.35">
      <c r="A87" t="s">
        <v>11</v>
      </c>
      <c r="B87" t="s">
        <v>236</v>
      </c>
      <c r="C87" t="str">
        <f t="shared" si="1"/>
        <v>Analyst InquiryLeverage digital channels for updates on govt. initiatives.</v>
      </c>
      <c r="D87" t="s">
        <v>237</v>
      </c>
      <c r="E87" t="s">
        <v>238</v>
      </c>
    </row>
    <row r="88" spans="1:5" x14ac:dyDescent="0.35">
      <c r="A88" t="s">
        <v>11</v>
      </c>
      <c r="B88" t="s">
        <v>244</v>
      </c>
      <c r="C88" t="str">
        <f t="shared" si="1"/>
        <v>Analyst InquiryOn adjusting digital service delivery strategies and extending the platform to exploit these new opportunities.</v>
      </c>
      <c r="D88" t="s">
        <v>239</v>
      </c>
      <c r="E88" t="s">
        <v>245</v>
      </c>
    </row>
    <row r="89" spans="1:5" x14ac:dyDescent="0.35">
      <c r="A89" t="s">
        <v>11</v>
      </c>
      <c r="B89" t="s">
        <v>246</v>
      </c>
      <c r="C89" t="str">
        <f t="shared" si="1"/>
        <v>Analyst InquiryFuture technology trends in digital government and how to prepare for them.</v>
      </c>
      <c r="D89" t="s">
        <v>247</v>
      </c>
      <c r="E89" t="s">
        <v>248</v>
      </c>
    </row>
    <row r="90" spans="1:5" x14ac:dyDescent="0.35">
      <c r="A90" t="s">
        <v>11</v>
      </c>
      <c r="B90" t="s">
        <v>251</v>
      </c>
      <c r="C90" t="str">
        <f t="shared" si="1"/>
        <v>Analyst InquiryInquire on how to develop futuristic plans that can adapt to a rapidly changing world.</v>
      </c>
      <c r="D90" t="s">
        <v>252</v>
      </c>
      <c r="E90" t="s">
        <v>253</v>
      </c>
    </row>
    <row r="91" spans="1:5" x14ac:dyDescent="0.35">
      <c r="A91" t="s">
        <v>11</v>
      </c>
      <c r="B91" t="s">
        <v>255</v>
      </c>
      <c r="C91" t="str">
        <f t="shared" si="1"/>
        <v>Analyst InquiryInquiry on basics of digitalizing manufacturing and associated technologies.</v>
      </c>
      <c r="D91" t="s">
        <v>0</v>
      </c>
      <c r="E91" t="s">
        <v>256</v>
      </c>
    </row>
    <row r="92" spans="1:5" x14ac:dyDescent="0.35">
      <c r="A92" t="s">
        <v>11</v>
      </c>
      <c r="B92" t="s">
        <v>268</v>
      </c>
      <c r="C92" t="str">
        <f t="shared" si="1"/>
        <v>Analyst InquiryInquiry on 3D printing technologies and how to incorporate in current manufacturing.</v>
      </c>
    </row>
    <row r="93" spans="1:5" x14ac:dyDescent="0.35">
      <c r="A93" t="s">
        <v>11</v>
      </c>
      <c r="B93" t="s">
        <v>269</v>
      </c>
      <c r="C93" t="str">
        <f t="shared" si="1"/>
        <v>Analyst InquiryInquiry on how to use data generated from IoT to monitor, analyze and act upon product data.</v>
      </c>
      <c r="D93" t="s">
        <v>270</v>
      </c>
      <c r="E93" t="s">
        <v>271</v>
      </c>
    </row>
    <row r="94" spans="1:5" x14ac:dyDescent="0.35">
      <c r="A94" t="s">
        <v>11</v>
      </c>
      <c r="B94" t="s">
        <v>277</v>
      </c>
      <c r="C94" t="str">
        <f t="shared" si="1"/>
        <v>Analyst InquiryInquiry on using Blockchain technologies in manufacturing.</v>
      </c>
      <c r="D94" t="s">
        <v>278</v>
      </c>
      <c r="E94" t="s">
        <v>279</v>
      </c>
    </row>
    <row r="95" spans="1:5" x14ac:dyDescent="0.35">
      <c r="A95" t="s">
        <v>11</v>
      </c>
      <c r="B95" t="s">
        <v>280</v>
      </c>
      <c r="C95" t="str">
        <f t="shared" si="1"/>
        <v>Analyst InquiryInquiry on metrics and success criteria for IOT and Industrie 4.0 initiatives.</v>
      </c>
      <c r="D95" t="s">
        <v>281</v>
      </c>
      <c r="E95" t="s">
        <v>282</v>
      </c>
    </row>
    <row r="96" spans="1:5" x14ac:dyDescent="0.35">
      <c r="A96" t="s">
        <v>11</v>
      </c>
      <c r="B96" t="s">
        <v>293</v>
      </c>
      <c r="C96" t="str">
        <f t="shared" si="1"/>
        <v>Analyst InquiryReview ITScore results. Discuss the key elements of a privacy management program and approaches to fully integrate the program into the business.</v>
      </c>
    </row>
    <row r="97" spans="1:5" x14ac:dyDescent="0.35">
      <c r="A97" t="s">
        <v>11</v>
      </c>
      <c r="B97" t="s">
        <v>294</v>
      </c>
      <c r="C97" t="str">
        <f t="shared" si="1"/>
        <v>Analyst InquiryInquiry on important elements of a privacy management program and the various regulations that need to be adhered to.</v>
      </c>
    </row>
    <row r="98" spans="1:5" x14ac:dyDescent="0.35">
      <c r="A98" t="s">
        <v>11</v>
      </c>
      <c r="B98" t="s">
        <v>297</v>
      </c>
      <c r="C98" t="str">
        <f t="shared" si="1"/>
        <v>Analyst InquiryInquiry on GDPR regulation and the components in the privacy program that would help in conforming to this regulation.</v>
      </c>
      <c r="D98" t="s">
        <v>298</v>
      </c>
      <c r="E98" t="s">
        <v>299</v>
      </c>
    </row>
    <row r="99" spans="1:5" x14ac:dyDescent="0.35">
      <c r="A99" t="s">
        <v>11</v>
      </c>
      <c r="B99" t="s">
        <v>303</v>
      </c>
      <c r="C99" t="str">
        <f t="shared" si="1"/>
        <v>Analyst InquiryInquiry on approaches that weigh down on a privacy program's effectiveness, and best practices that support its success.</v>
      </c>
      <c r="D99" t="s">
        <v>304</v>
      </c>
      <c r="E99" t="s">
        <v>305</v>
      </c>
    </row>
    <row r="100" spans="1:5" x14ac:dyDescent="0.35">
      <c r="A100" t="s">
        <v>11</v>
      </c>
      <c r="B100" t="s">
        <v>314</v>
      </c>
      <c r="C100" t="str">
        <f t="shared" si="1"/>
        <v>Analyst InquiryDevelop vendor-selection criteria for data protection.</v>
      </c>
      <c r="D100" t="s">
        <v>315</v>
      </c>
      <c r="E100" t="s">
        <v>316</v>
      </c>
    </row>
    <row r="101" spans="1:5" x14ac:dyDescent="0.35">
      <c r="A101" t="s">
        <v>11</v>
      </c>
      <c r="B101" t="s">
        <v>317</v>
      </c>
      <c r="C101" t="str">
        <f t="shared" si="1"/>
        <v>Analyst InquiryInquiry on the 10 requirements that are pertinent to application leaders supporting CRM and the customer experience.</v>
      </c>
      <c r="D101" t="s">
        <v>312</v>
      </c>
      <c r="E101" t="s">
        <v>318</v>
      </c>
    </row>
    <row r="102" spans="1:5" x14ac:dyDescent="0.35">
      <c r="A102" t="s">
        <v>11</v>
      </c>
      <c r="B102" t="s">
        <v>321</v>
      </c>
      <c r="C102" t="str">
        <f t="shared" si="1"/>
        <v>Analyst InquiryReview ITScore results. Evaluate capabilities, establish areas that need improvements.</v>
      </c>
    </row>
    <row r="103" spans="1:5" x14ac:dyDescent="0.35">
      <c r="A103" t="s">
        <v>11</v>
      </c>
      <c r="B103" t="s">
        <v>338</v>
      </c>
      <c r="C103" t="str">
        <f t="shared" si="1"/>
        <v>Analyst InquiryEngage on prioritized projects and tool/vendor selection.</v>
      </c>
      <c r="D103" t="s">
        <v>339</v>
      </c>
      <c r="E103" t="s">
        <v>340</v>
      </c>
    </row>
    <row r="104" spans="1:5" x14ac:dyDescent="0.35">
      <c r="A104" t="s">
        <v>11</v>
      </c>
      <c r="B104" t="s">
        <v>348</v>
      </c>
      <c r="C104" t="str">
        <f t="shared" si="1"/>
        <v>Analyst InquiryDiscuss best practices in organizing teams for Data &amp; Analytics.</v>
      </c>
    </row>
    <row r="105" spans="1:5" x14ac:dyDescent="0.35">
      <c r="A105" t="s">
        <v>11</v>
      </c>
      <c r="B105" t="s">
        <v>355</v>
      </c>
      <c r="C105" t="str">
        <f t="shared" si="1"/>
        <v>Analyst InquiryBusiness value of analytics - justifying investment through business performance results</v>
      </c>
    </row>
    <row r="106" spans="1:5" x14ac:dyDescent="0.35">
      <c r="A106" t="s">
        <v>11</v>
      </c>
      <c r="B106" t="s">
        <v>365</v>
      </c>
      <c r="C106" t="str">
        <f t="shared" si="1"/>
        <v>Analyst InquiryReview core AI technologies. Identify use cases and gaps in skill-set.</v>
      </c>
      <c r="D106" t="s">
        <v>366</v>
      </c>
      <c r="E106" t="s">
        <v>367</v>
      </c>
    </row>
    <row r="107" spans="1:5" x14ac:dyDescent="0.35">
      <c r="A107" t="s">
        <v>11</v>
      </c>
      <c r="B107" t="s">
        <v>374</v>
      </c>
      <c r="C107" t="str">
        <f t="shared" si="1"/>
        <v xml:space="preserve">Analyst InquiryAnalyze the potential of AI in various horizontal and vertical use cases. 
</v>
      </c>
      <c r="D107" t="s">
        <v>375</v>
      </c>
      <c r="E107" t="s">
        <v>376</v>
      </c>
    </row>
    <row r="108" spans="1:5" x14ac:dyDescent="0.35">
      <c r="A108" t="s">
        <v>11</v>
      </c>
      <c r="B108" t="s">
        <v>384</v>
      </c>
      <c r="C108" t="str">
        <f t="shared" si="1"/>
        <v xml:space="preserve">Analyst InquiryDiscuss the core AI Technologies referencing: </v>
      </c>
      <c r="D108" t="s">
        <v>385</v>
      </c>
      <c r="E108" t="s">
        <v>386</v>
      </c>
    </row>
    <row r="109" spans="1:5" x14ac:dyDescent="0.35">
      <c r="A109" t="s">
        <v>11</v>
      </c>
      <c r="B109" t="s">
        <v>387</v>
      </c>
      <c r="C109" t="str">
        <f t="shared" si="1"/>
        <v>Analyst InquiryReview core AI technologies referencing:</v>
      </c>
      <c r="D109" t="s">
        <v>388</v>
      </c>
      <c r="E109" t="s">
        <v>389</v>
      </c>
    </row>
    <row r="110" spans="1:5" x14ac:dyDescent="0.35">
      <c r="A110" t="s">
        <v>11</v>
      </c>
      <c r="B110" t="s">
        <v>391</v>
      </c>
      <c r="C110" t="str">
        <f t="shared" si="1"/>
        <v xml:space="preserve">Analyst InquiryLeverage Gartner analysts for AI vendor selection and contract review.    
</v>
      </c>
      <c r="D110" t="s">
        <v>392</v>
      </c>
      <c r="E110" t="s">
        <v>393</v>
      </c>
    </row>
    <row r="111" spans="1:5" x14ac:dyDescent="0.35">
      <c r="A111" t="s">
        <v>11</v>
      </c>
      <c r="B111" t="s">
        <v>402</v>
      </c>
      <c r="C111" t="str">
        <f t="shared" si="1"/>
        <v>Analyst Inquiryto support Roadmap implementation – platform architecture, technology selections, integration, security etc.</v>
      </c>
    </row>
    <row r="112" spans="1:5" x14ac:dyDescent="0.35">
      <c r="A112" t="s">
        <v>11</v>
      </c>
      <c r="B112" t="s">
        <v>424</v>
      </c>
      <c r="C112" t="str">
        <f t="shared" si="1"/>
        <v>Analyst InquiryReview questionnaire and assessment results. Discuss Operational model options. Define the optimized path/prioritization of the different components.</v>
      </c>
    </row>
    <row r="113" spans="1:5" x14ac:dyDescent="0.35">
      <c r="A113" t="s">
        <v>11</v>
      </c>
      <c r="B113" t="s">
        <v>442</v>
      </c>
      <c r="C113" t="str">
        <f t="shared" si="1"/>
        <v>Analyst InquiryAnalyst calls to support the components of the operating model change initiative.</v>
      </c>
    </row>
    <row r="114" spans="1:5" x14ac:dyDescent="0.35">
      <c r="A114" t="s">
        <v>11</v>
      </c>
      <c r="B114" t="s">
        <v>458</v>
      </c>
      <c r="C114" t="str">
        <f t="shared" si="1"/>
        <v>Analyst InquiryIntroductory call - laying out activities for a successful strategic planning process.</v>
      </c>
    </row>
    <row r="115" spans="1:5" x14ac:dyDescent="0.35">
      <c r="A115" t="s">
        <v>11</v>
      </c>
      <c r="B115" t="s">
        <v>459</v>
      </c>
      <c r="C115" t="str">
        <f t="shared" si="1"/>
        <v xml:space="preserve">Analyst InquiryReview ITScore results. Gain insights on the best ways to accelerate strategy development.  </v>
      </c>
    </row>
    <row r="116" spans="1:5" x14ac:dyDescent="0.35">
      <c r="A116" t="s">
        <v>11</v>
      </c>
      <c r="B116" t="s">
        <v>479</v>
      </c>
      <c r="C116" t="str">
        <f t="shared" si="1"/>
        <v>Analyst InquiryStrategy document review and feedback. Prioritize next steps.</v>
      </c>
    </row>
    <row r="117" spans="1:5" x14ac:dyDescent="0.35">
      <c r="A117" t="s">
        <v>11</v>
      </c>
      <c r="B117" t="s">
        <v>489</v>
      </c>
      <c r="C117" t="str">
        <f t="shared" si="1"/>
        <v xml:space="preserve">Analyst InquiryCommunicating the IT Strategy across the organization. 
</v>
      </c>
      <c r="D117" t="s">
        <v>490</v>
      </c>
      <c r="E117" t="s">
        <v>488</v>
      </c>
    </row>
    <row r="118" spans="1:5" x14ac:dyDescent="0.35">
      <c r="A118" t="s">
        <v>11</v>
      </c>
      <c r="B118" t="s">
        <v>496</v>
      </c>
      <c r="C118" t="str">
        <f t="shared" si="1"/>
        <v>Analyst InquiryAnalyst calls to support strategy execution and communication.</v>
      </c>
    </row>
    <row r="119" spans="1:5" x14ac:dyDescent="0.35">
      <c r="A119" t="s">
        <v>11</v>
      </c>
      <c r="B119" t="s">
        <v>497</v>
      </c>
      <c r="C119" t="str">
        <f t="shared" si="1"/>
        <v xml:space="preserve">Analyst InquiryAnalyst calls to support strategy execution and communication.
</v>
      </c>
    </row>
    <row r="120" spans="1:5" x14ac:dyDescent="0.35">
      <c r="A120" t="s">
        <v>11</v>
      </c>
      <c r="B120" t="s">
        <v>514</v>
      </c>
      <c r="C120" t="str">
        <f t="shared" si="1"/>
        <v>Analyst InquiryIntroductory call – best practices for measuring and communicating the business value of IT.</v>
      </c>
    </row>
    <row r="121" spans="1:5" x14ac:dyDescent="0.35">
      <c r="A121" t="s">
        <v>11</v>
      </c>
      <c r="B121" t="s">
        <v>515</v>
      </c>
      <c r="C121" t="str">
        <f t="shared" si="1"/>
        <v xml:space="preserve">Analyst InquiryIntroductory call – best practices for measuring and communicating the business value of IT.   </v>
      </c>
    </row>
    <row r="122" spans="1:5" x14ac:dyDescent="0.35">
      <c r="A122" t="s">
        <v>11</v>
      </c>
      <c r="B122" t="s">
        <v>531</v>
      </c>
      <c r="C122" t="str">
        <f t="shared" si="1"/>
        <v xml:space="preserve">Analyst InquirySetting up the IT Investment Council. Developing a value communication approach – Executive &amp; BU perspective.
</v>
      </c>
      <c r="D122" t="s">
        <v>532</v>
      </c>
      <c r="E122" t="s">
        <v>526</v>
      </c>
    </row>
    <row r="123" spans="1:5" x14ac:dyDescent="0.35">
      <c r="A123" t="s">
        <v>11</v>
      </c>
      <c r="B123" t="s">
        <v>533</v>
      </c>
      <c r="C123" t="str">
        <f t="shared" si="1"/>
        <v xml:space="preserve">Analyst InquiryLeverage template to visualize the strategic plan and its link to business objectives.
</v>
      </c>
      <c r="D123" t="s">
        <v>534</v>
      </c>
      <c r="E123" t="s">
        <v>535</v>
      </c>
    </row>
    <row r="124" spans="1:5" x14ac:dyDescent="0.35">
      <c r="A124" t="s">
        <v>11</v>
      </c>
      <c r="B124" t="s">
        <v>550</v>
      </c>
      <c r="C124" t="str">
        <f t="shared" si="1"/>
        <v xml:space="preserve">Analyst InquiryCorrelating IT spending and business value metrics.
</v>
      </c>
      <c r="D124" t="s">
        <v>551</v>
      </c>
      <c r="E124" t="s">
        <v>552</v>
      </c>
    </row>
    <row r="125" spans="1:5" x14ac:dyDescent="0.35">
      <c r="A125" t="s">
        <v>11</v>
      </c>
      <c r="B125" t="s">
        <v>559</v>
      </c>
      <c r="C125" t="str">
        <f t="shared" si="1"/>
        <v>Analyst InquiryReview end of year performance and board presentation slides (if available).</v>
      </c>
    </row>
    <row r="126" spans="1:5" x14ac:dyDescent="0.35">
      <c r="A126" t="s">
        <v>11</v>
      </c>
      <c r="B126" t="s">
        <v>560</v>
      </c>
      <c r="C126" t="str">
        <f t="shared" si="1"/>
        <v>Analyst InquiryReview end of year performance, review presentation materials if available.</v>
      </c>
      <c r="D126" t="s">
        <v>554</v>
      </c>
      <c r="E126" t="s">
        <v>552</v>
      </c>
    </row>
    <row r="127" spans="1:5" x14ac:dyDescent="0.35">
      <c r="A127" t="s">
        <v>11</v>
      </c>
      <c r="B127" t="s">
        <v>573</v>
      </c>
      <c r="C127" t="str">
        <f t="shared" si="1"/>
        <v>Analyst InquiryIntroductory call – leveraging Gartner throughout the M&amp;A Process.</v>
      </c>
    </row>
    <row r="128" spans="1:5" x14ac:dyDescent="0.35">
      <c r="A128" t="s">
        <v>11</v>
      </c>
      <c r="B128" t="s">
        <v>583</v>
      </c>
      <c r="C128" t="str">
        <f t="shared" si="1"/>
        <v>Analyst InquiryReview research and conduct analyst calls specific to integration priorities/challenges e.g. application rationalization.</v>
      </c>
      <c r="D128" t="s">
        <v>584</v>
      </c>
      <c r="E128" t="s">
        <v>585</v>
      </c>
    </row>
    <row r="129" spans="1:5" x14ac:dyDescent="0.35">
      <c r="A129" t="s">
        <v>11</v>
      </c>
      <c r="B129" t="s">
        <v>589</v>
      </c>
      <c r="C129" t="str">
        <f t="shared" si="1"/>
        <v>Analyst InquiryPreparing a workforce integration plan:</v>
      </c>
      <c r="D129" t="s">
        <v>590</v>
      </c>
      <c r="E129" t="s">
        <v>591</v>
      </c>
    </row>
    <row r="130" spans="1:5" x14ac:dyDescent="0.35">
      <c r="A130" t="s">
        <v>11</v>
      </c>
      <c r="B130" t="s">
        <v>596</v>
      </c>
      <c r="C130" t="str">
        <f t="shared" si="1"/>
        <v>Analyst InquiryDiscussions specific to post merger operational and organizational model.</v>
      </c>
    </row>
    <row r="131" spans="1:5" x14ac:dyDescent="0.35">
      <c r="A131" t="s">
        <v>11</v>
      </c>
      <c r="B131" t="s">
        <v>600</v>
      </c>
      <c r="C131" t="str">
        <f t="shared" ref="C131:C194" si="2">CONCATENATE(A131,B131)</f>
        <v>Analyst InquiryDiscussion specific to I&amp;O:</v>
      </c>
      <c r="D131" t="s">
        <v>601</v>
      </c>
      <c r="E131" t="s">
        <v>602</v>
      </c>
    </row>
    <row r="132" spans="1:5" x14ac:dyDescent="0.35">
      <c r="A132" t="s">
        <v>11</v>
      </c>
      <c r="B132" t="s">
        <v>603</v>
      </c>
      <c r="C132" t="str">
        <f t="shared" si="2"/>
        <v>Analyst InquiryEngage with analysts to consider cybersecurity implications across the M&amp;A process.</v>
      </c>
      <c r="D132" t="s">
        <v>604</v>
      </c>
      <c r="E132" t="s">
        <v>605</v>
      </c>
    </row>
    <row r="133" spans="1:5" x14ac:dyDescent="0.35">
      <c r="A133" t="s">
        <v>11</v>
      </c>
      <c r="B133" t="s">
        <v>606</v>
      </c>
      <c r="C133" t="str">
        <f t="shared" si="2"/>
        <v>Analyst InquiryDiscussion on synergy realization metrics.</v>
      </c>
    </row>
    <row r="134" spans="1:5" x14ac:dyDescent="0.35">
      <c r="A134" t="s">
        <v>11</v>
      </c>
      <c r="B134" t="s">
        <v>613</v>
      </c>
      <c r="C134" t="str">
        <f t="shared" si="2"/>
        <v>Analyst InquiryReview draft of innovation charter as well as staffing/activity plans.</v>
      </c>
    </row>
    <row r="135" spans="1:5" x14ac:dyDescent="0.35">
      <c r="A135" t="s">
        <v>11</v>
      </c>
      <c r="B135" t="s">
        <v>619</v>
      </c>
      <c r="C135" t="str">
        <f t="shared" si="2"/>
        <v>Analyst InquiryDiscuss approaches to launching experimentation for selected ideas.</v>
      </c>
    </row>
    <row r="136" spans="1:5" x14ac:dyDescent="0.35">
      <c r="A136" t="s">
        <v>11</v>
      </c>
      <c r="B136" t="s">
        <v>626</v>
      </c>
      <c r="C136" t="str">
        <f t="shared" si="2"/>
        <v>Analyst InquiryDiscuss STREET framework for identifying and evaluating high-impact emerging technologies.</v>
      </c>
      <c r="D136" t="s">
        <v>627</v>
      </c>
      <c r="E136" t="s">
        <v>628</v>
      </c>
    </row>
    <row r="137" spans="1:5" x14ac:dyDescent="0.35">
      <c r="A137" t="s">
        <v>11</v>
      </c>
      <c r="B137" t="s">
        <v>640</v>
      </c>
      <c r="C137" t="str">
        <f t="shared" si="2"/>
        <v>Analyst InquiryTroubleshooting calls on selected innovation streams.</v>
      </c>
    </row>
    <row r="138" spans="1:5" x14ac:dyDescent="0.35">
      <c r="A138" t="s">
        <v>11</v>
      </c>
      <c r="B138" t="s">
        <v>641</v>
      </c>
      <c r="C138" t="str">
        <f t="shared" si="2"/>
        <v xml:space="preserve">Analyst InquiryLaying the foundations for ensuring innovation projects can successfully scale. </v>
      </c>
      <c r="D138" t="s">
        <v>642</v>
      </c>
      <c r="E138" t="s">
        <v>643</v>
      </c>
    </row>
    <row r="139" spans="1:5" x14ac:dyDescent="0.35">
      <c r="A139" t="s">
        <v>11</v>
      </c>
      <c r="B139" t="s">
        <v>649</v>
      </c>
      <c r="C139" t="str">
        <f t="shared" si="2"/>
        <v>Analyst InquiryExplore AI opportunities.</v>
      </c>
      <c r="D139" t="s">
        <v>650</v>
      </c>
      <c r="E139" t="s">
        <v>651</v>
      </c>
    </row>
    <row r="140" spans="1:5" x14ac:dyDescent="0.35">
      <c r="A140" t="s">
        <v>11</v>
      </c>
      <c r="B140" t="s">
        <v>660</v>
      </c>
      <c r="C140" t="str">
        <f t="shared" si="2"/>
        <v xml:space="preserve">Analyst InquiryReview ITBudget assessment and prioritization results. </v>
      </c>
    </row>
    <row r="141" spans="1:5" x14ac:dyDescent="0.35">
      <c r="A141" t="s">
        <v>11</v>
      </c>
      <c r="B141" t="s">
        <v>665</v>
      </c>
      <c r="C141" t="str">
        <f t="shared" si="2"/>
        <v>Analyst InquiryEngage with analysts to review contracts due for renewal and identify opportunities for savings.</v>
      </c>
    </row>
    <row r="142" spans="1:5" x14ac:dyDescent="0.35">
      <c r="A142" t="s">
        <v>11</v>
      </c>
      <c r="B142" t="s">
        <v>682</v>
      </c>
      <c r="C142" t="str">
        <f t="shared" si="2"/>
        <v>Analyst InquiryEngage with analysts on specific cost cutting priorities. Schedule pricing/contract reviews.</v>
      </c>
    </row>
    <row r="143" spans="1:5" x14ac:dyDescent="0.35">
      <c r="A143" t="s">
        <v>11</v>
      </c>
      <c r="B143" t="s">
        <v>683</v>
      </c>
      <c r="C143" t="str">
        <f t="shared" si="2"/>
        <v>Analyst InquiryInquiry on customizing the critical success factors for improved success rates. Read first:</v>
      </c>
      <c r="D143" t="s">
        <v>684</v>
      </c>
      <c r="E143" t="s">
        <v>685</v>
      </c>
    </row>
    <row r="144" spans="1:5" x14ac:dyDescent="0.35">
      <c r="A144" t="s">
        <v>11</v>
      </c>
      <c r="B144" t="s">
        <v>692</v>
      </c>
      <c r="C144" t="str">
        <f t="shared" si="2"/>
        <v>Analyst InquiryEngage with analysts on specific cost cutting priorities. Schedule pricing/contract reviews. Find the "next gear" of cost and productivity performance</v>
      </c>
    </row>
    <row r="145" spans="1:5" x14ac:dyDescent="0.35">
      <c r="A145" t="s">
        <v>11</v>
      </c>
      <c r="B145" t="s">
        <v>700</v>
      </c>
      <c r="C145" t="str">
        <f t="shared" si="2"/>
        <v>Analyst InquiryReview maturity results. Define success criteria for CRM &amp; CX program. Identify next steps.</v>
      </c>
    </row>
    <row r="146" spans="1:5" x14ac:dyDescent="0.35">
      <c r="A146" t="s">
        <v>11</v>
      </c>
      <c r="B146" t="s">
        <v>709</v>
      </c>
      <c r="C146" t="str">
        <f t="shared" si="2"/>
        <v>Analyst InquiryInquiry on criteria to prioritize innovative experience ideas to build a differentiated customer experience.</v>
      </c>
    </row>
    <row r="147" spans="1:5" x14ac:dyDescent="0.35">
      <c r="A147" t="s">
        <v>11</v>
      </c>
      <c r="B147" t="s">
        <v>723</v>
      </c>
      <c r="C147" t="str">
        <f t="shared" si="2"/>
        <v>Analyst InquiryEngage with analysts for CRM tool selection and contract negotiation.</v>
      </c>
    </row>
    <row r="148" spans="1:5" x14ac:dyDescent="0.35">
      <c r="A148" t="s">
        <v>11</v>
      </c>
      <c r="B148" t="s">
        <v>733</v>
      </c>
      <c r="C148" t="str">
        <f t="shared" si="2"/>
        <v xml:space="preserve">Analyst InquiryIdentify ROI metrics for CX improvement projects to link CX investment to financial benefit in order to prioritize investment in new technologies. </v>
      </c>
      <c r="D148" t="s">
        <v>734</v>
      </c>
      <c r="E148" t="s">
        <v>735</v>
      </c>
    </row>
    <row r="149" spans="1:5" x14ac:dyDescent="0.35">
      <c r="A149" t="s">
        <v>11</v>
      </c>
      <c r="B149" t="s">
        <v>736</v>
      </c>
      <c r="C149" t="str">
        <f t="shared" si="2"/>
        <v>Analyst InquiryReview progress discuss goals to achieve the next level of Customer Experience maturity.</v>
      </c>
    </row>
    <row r="150" spans="1:5" x14ac:dyDescent="0.35">
      <c r="A150" t="s">
        <v>11</v>
      </c>
      <c r="B150" t="s">
        <v>748</v>
      </c>
      <c r="C150" t="str">
        <f t="shared" si="2"/>
        <v>Analyst InquiryReview readiness assessment results and project charter on a call with an Analyst.</v>
      </c>
    </row>
    <row r="151" spans="1:5" x14ac:dyDescent="0.35">
      <c r="A151" t="s">
        <v>11</v>
      </c>
      <c r="B151" t="s">
        <v>749</v>
      </c>
      <c r="C151" t="str">
        <f t="shared" si="2"/>
        <v xml:space="preserve">Analyst InquiryUnderstand how trends and technology will shape the future state ERP to renovate ERP strategies. </v>
      </c>
      <c r="D151" t="s">
        <v>750</v>
      </c>
      <c r="E151" t="s">
        <v>751</v>
      </c>
    </row>
    <row r="152" spans="1:5" x14ac:dyDescent="0.35">
      <c r="A152" t="s">
        <v>11</v>
      </c>
      <c r="B152" t="s">
        <v>758</v>
      </c>
      <c r="C152" t="str">
        <f t="shared" si="2"/>
        <v>Analyst InquiryReview challenges faced in ERP modernization projects and the best practices to realize its value potential.</v>
      </c>
      <c r="D152" t="s">
        <v>759</v>
      </c>
      <c r="E152" t="s">
        <v>760</v>
      </c>
    </row>
    <row r="153" spans="1:5" x14ac:dyDescent="0.35">
      <c r="A153" t="s">
        <v>11</v>
      </c>
      <c r="B153" t="s">
        <v>762</v>
      </c>
      <c r="C153" t="str">
        <f t="shared" si="2"/>
        <v>Analyst InquiryEngage Gartner analysts for 'Buy' vs 'Build' decision.</v>
      </c>
      <c r="D153" t="s">
        <v>763</v>
      </c>
      <c r="E153" t="s">
        <v>764</v>
      </c>
    </row>
    <row r="154" spans="1:5" x14ac:dyDescent="0.35">
      <c r="A154" t="s">
        <v>11</v>
      </c>
      <c r="B154" t="s">
        <v>774</v>
      </c>
      <c r="C154" t="str">
        <f t="shared" si="2"/>
        <v xml:space="preserve">Analyst InquiryDevelop guiding principles that support execution of the ERP strategy and establish effective long-term governance. </v>
      </c>
      <c r="D154" t="s">
        <v>775</v>
      </c>
      <c r="E154" t="s">
        <v>776</v>
      </c>
    </row>
    <row r="155" spans="1:5" x14ac:dyDescent="0.35">
      <c r="A155" t="s">
        <v>11</v>
      </c>
      <c r="B155" t="s">
        <v>780</v>
      </c>
      <c r="C155" t="str">
        <f t="shared" si="2"/>
        <v xml:space="preserve">Analyst InquiryDiscussion on accelerating ERP adoption, productivity and benefits realization using the best practices. </v>
      </c>
      <c r="D155" t="s">
        <v>781</v>
      </c>
      <c r="E155" t="s">
        <v>782</v>
      </c>
    </row>
    <row r="156" spans="1:5" x14ac:dyDescent="0.35">
      <c r="A156" t="s">
        <v>11</v>
      </c>
      <c r="B156" t="s">
        <v>790</v>
      </c>
      <c r="C156" t="str">
        <f t="shared" si="2"/>
        <v>Analyst InquiryScoping call: 1) Current state 2) Recent  licensing changes 3) EA Renewal Project Plan &amp; SAM Initiatives.</v>
      </c>
    </row>
    <row r="157" spans="1:5" x14ac:dyDescent="0.35">
      <c r="A157" t="s">
        <v>11</v>
      </c>
      <c r="B157" t="s">
        <v>794</v>
      </c>
      <c r="C157" t="str">
        <f t="shared" si="2"/>
        <v>Analyst InquiryReview Server Portfolio :  1) SQL, Visual Studio, Project Server, Windows Server, Systems Center 2) Dynamics 365  3) Cloud Enrollments  4) Azure.</v>
      </c>
    </row>
    <row r="158" spans="1:5" x14ac:dyDescent="0.35">
      <c r="A158" t="s">
        <v>11</v>
      </c>
      <c r="B158" t="s">
        <v>799</v>
      </c>
      <c r="C158" t="str">
        <f t="shared" si="2"/>
        <v>Analyst InquiryAlign licensing requirements:  1) O365  2) Cloud strategy and migration  3) SA Entitlements  4) User profiling  5) Bundle options.</v>
      </c>
    </row>
    <row r="159" spans="1:5" x14ac:dyDescent="0.35">
      <c r="A159" t="s">
        <v>11</v>
      </c>
      <c r="B159" t="s">
        <v>800</v>
      </c>
      <c r="C159" t="str">
        <f t="shared" si="2"/>
        <v>Analyst InquiryReview renewal options:  1) Cloud vs Hybrid  2) Contract leverage and agreement options  3) Plan B fall back options.</v>
      </c>
    </row>
    <row r="160" spans="1:5" x14ac:dyDescent="0.35">
      <c r="A160" t="s">
        <v>11</v>
      </c>
      <c r="B160" t="s">
        <v>801</v>
      </c>
      <c r="C160" t="str">
        <f t="shared" si="2"/>
        <v>Analyst Inquiry60 days Prior - Preliminary proposal review.</v>
      </c>
    </row>
    <row r="161" spans="1:5" x14ac:dyDescent="0.35">
      <c r="A161" t="s">
        <v>11</v>
      </c>
      <c r="B161" t="s">
        <v>802</v>
      </c>
      <c r="C161" t="str">
        <f t="shared" si="2"/>
        <v>Analyst Inquiry30 days Prior - Final negotiated proposal review.</v>
      </c>
    </row>
    <row r="162" spans="1:5" x14ac:dyDescent="0.35">
      <c r="A162" t="s">
        <v>11</v>
      </c>
      <c r="B162" t="s">
        <v>813</v>
      </c>
      <c r="C162" t="str">
        <f t="shared" si="2"/>
        <v xml:space="preserve">Analyst InquiryCreating a robust and scalable enterprise change capability. 
</v>
      </c>
      <c r="D162" t="s">
        <v>814</v>
      </c>
      <c r="E162" t="s">
        <v>815</v>
      </c>
    </row>
    <row r="163" spans="1:5" x14ac:dyDescent="0.35">
      <c r="A163" t="s">
        <v>11</v>
      </c>
      <c r="B163" t="s">
        <v>822</v>
      </c>
      <c r="C163" t="str">
        <f t="shared" si="2"/>
        <v>Analyst InquiryStrategies for personal development in leadership.</v>
      </c>
      <c r="D163" t="s">
        <v>823</v>
      </c>
      <c r="E163" t="s">
        <v>824</v>
      </c>
    </row>
    <row r="164" spans="1:5" x14ac:dyDescent="0.35">
      <c r="A164" t="s">
        <v>11</v>
      </c>
      <c r="B164" t="s">
        <v>830</v>
      </c>
      <c r="C164" t="str">
        <f t="shared" si="2"/>
        <v>Analyst InquiryStrategies for developing the leadership skills of your immediate team to support your future state goals.</v>
      </c>
    </row>
    <row r="165" spans="1:5" x14ac:dyDescent="0.35">
      <c r="A165" t="s">
        <v>11</v>
      </c>
      <c r="B165" t="s">
        <v>835</v>
      </c>
      <c r="C165" t="str">
        <f t="shared" si="2"/>
        <v xml:space="preserve">Analyst InquiryReview the Gartner ESCAPE model and discuss how this model can be applied during the transformation efforts.
</v>
      </c>
      <c r="D165" t="s">
        <v>836</v>
      </c>
      <c r="E165" t="s">
        <v>837</v>
      </c>
    </row>
    <row r="166" spans="1:5" x14ac:dyDescent="0.35">
      <c r="A166" t="s">
        <v>11</v>
      </c>
      <c r="B166" t="s">
        <v>843</v>
      </c>
      <c r="C166" t="str">
        <f t="shared" si="2"/>
        <v xml:space="preserve">Analyst InquiryDiscuss specific areas of concern and risk with a Gartner subject matter expert. 
</v>
      </c>
    </row>
    <row r="167" spans="1:5" x14ac:dyDescent="0.35">
      <c r="A167" t="s">
        <v>11</v>
      </c>
      <c r="B167" t="s">
        <v>847</v>
      </c>
      <c r="C167" t="str">
        <f t="shared" si="2"/>
        <v>Analyst InquiryUnderstanding emotional intelligence.</v>
      </c>
      <c r="D167" t="s">
        <v>848</v>
      </c>
      <c r="E167" t="s">
        <v>849</v>
      </c>
    </row>
    <row r="168" spans="1:5" x14ac:dyDescent="0.35">
      <c r="A168" t="s">
        <v>11</v>
      </c>
      <c r="B168" t="s">
        <v>850</v>
      </c>
      <c r="C168" t="str">
        <f t="shared" si="2"/>
        <v>Analyst InquiryDiscuss on techniques to strengthen stakeholder relationships and level of influence.</v>
      </c>
    </row>
    <row r="169" spans="1:5" x14ac:dyDescent="0.35">
      <c r="A169" t="s">
        <v>11</v>
      </c>
      <c r="B169" t="s">
        <v>854</v>
      </c>
      <c r="C169" t="str">
        <f t="shared" si="2"/>
        <v xml:space="preserve">Analyst InquiryDiscuss on techniques to strengthen stakeholder relationships and level of influence.
</v>
      </c>
    </row>
    <row r="170" spans="1:5" x14ac:dyDescent="0.35">
      <c r="A170" t="s">
        <v>11</v>
      </c>
      <c r="B170" t="s">
        <v>891</v>
      </c>
      <c r="C170" t="str">
        <f t="shared" si="2"/>
        <v>Analyst InquiryWorkforce assessment - Gartner / Mercer compensation survey results (Americas)</v>
      </c>
    </row>
    <row r="171" spans="1:5" x14ac:dyDescent="0.35">
      <c r="A171" t="s">
        <v>11</v>
      </c>
      <c r="B171" t="s">
        <v>897</v>
      </c>
      <c r="C171" t="str">
        <f t="shared" si="2"/>
        <v xml:space="preserve">Analyst InquiryScoping call – best practices for completing an ITScore. Selecting which assessments to complete first.  </v>
      </c>
      <c r="D171" t="s">
        <v>898</v>
      </c>
      <c r="E171" t="s">
        <v>873</v>
      </c>
    </row>
    <row r="172" spans="1:5" x14ac:dyDescent="0.35">
      <c r="A172" t="s">
        <v>11</v>
      </c>
      <c r="B172" t="s">
        <v>903</v>
      </c>
      <c r="C172" t="str">
        <f t="shared" si="2"/>
        <v xml:space="preserve">Analyst InquiryReview of ITScore assessments  to gain an understanding of your overall strengths and weaknesses, and how you to compare with similar enterprises.
</v>
      </c>
    </row>
    <row r="173" spans="1:5" x14ac:dyDescent="0.35">
      <c r="A173" t="s">
        <v>11</v>
      </c>
      <c r="B173" t="s">
        <v>911</v>
      </c>
      <c r="C173" t="str">
        <f t="shared" si="2"/>
        <v>Analyst InquiryWork with an analyst to identify research to help you to respond to the ITScore assessments and plan next steps.</v>
      </c>
      <c r="D173" t="s">
        <v>912</v>
      </c>
      <c r="E173" t="s">
        <v>913</v>
      </c>
    </row>
    <row r="174" spans="1:5" x14ac:dyDescent="0.35">
      <c r="A174" t="s">
        <v>11</v>
      </c>
      <c r="B174" t="s">
        <v>918</v>
      </c>
      <c r="C174" t="str">
        <f t="shared" si="2"/>
        <v>Analyst InquiryDiscuss specific to maturity improvement initiatives. Review progress and troubleshoot issues. e.g. Focus on applications.</v>
      </c>
      <c r="D174" t="s">
        <v>919</v>
      </c>
      <c r="E174" t="s">
        <v>920</v>
      </c>
    </row>
    <row r="175" spans="1:5" x14ac:dyDescent="0.35">
      <c r="A175" t="s">
        <v>11</v>
      </c>
      <c r="B175" t="s">
        <v>922</v>
      </c>
      <c r="C175" t="str">
        <f t="shared" si="2"/>
        <v>Analyst InquiryBenchmark performance against prior year survey. Document improvements made. Prioritize future actions.</v>
      </c>
    </row>
    <row r="176" spans="1:5" x14ac:dyDescent="0.35">
      <c r="A176" t="s">
        <v>11</v>
      </c>
      <c r="B176" t="s">
        <v>929</v>
      </c>
      <c r="C176" t="str">
        <f t="shared" si="2"/>
        <v>Analyst InquiryReview assessment results and discuss viable approaches to digital skills development.</v>
      </c>
    </row>
    <row r="177" spans="1:5" x14ac:dyDescent="0.35">
      <c r="A177" t="s">
        <v>11</v>
      </c>
      <c r="B177" t="s">
        <v>932</v>
      </c>
      <c r="C177" t="str">
        <f t="shared" si="2"/>
        <v>Analyst InquiryDiscuss strategies to accelerate digital skills development and knowledge transfer across IT.</v>
      </c>
      <c r="D177" t="s">
        <v>933</v>
      </c>
      <c r="E177" t="s">
        <v>934</v>
      </c>
    </row>
    <row r="178" spans="1:5" x14ac:dyDescent="0.35">
      <c r="A178" t="s">
        <v>11</v>
      </c>
      <c r="B178" t="s">
        <v>935</v>
      </c>
      <c r="C178" t="str">
        <f t="shared" si="2"/>
        <v>Analyst InquiryAnalyst review of current workforce development plan – troubleshoot challenges, establish priorities.</v>
      </c>
    </row>
    <row r="179" spans="1:5" x14ac:dyDescent="0.35">
      <c r="A179" t="s">
        <v>11</v>
      </c>
      <c r="B179" t="s">
        <v>946</v>
      </c>
      <c r="C179" t="str">
        <f t="shared" si="2"/>
        <v>Analyst InquiryDiscuss most recent perspectives on workforce metrics.</v>
      </c>
    </row>
    <row r="180" spans="1:5" x14ac:dyDescent="0.35">
      <c r="A180" t="s">
        <v>11</v>
      </c>
      <c r="B180" t="s">
        <v>953</v>
      </c>
      <c r="C180" t="str">
        <f t="shared" si="2"/>
        <v xml:space="preserve">Analyst InquiryRe-run the digital skills assessment. Review progress, revisit priorities. </v>
      </c>
    </row>
    <row r="181" spans="1:5" x14ac:dyDescent="0.35">
      <c r="A181" t="s">
        <v>11</v>
      </c>
      <c r="B181" t="s">
        <v>957</v>
      </c>
      <c r="C181" t="str">
        <f t="shared" si="2"/>
        <v>Analyst InquiryOn customizable frameworks to define the culture change roadmap.</v>
      </c>
      <c r="D181" t="s">
        <v>958</v>
      </c>
      <c r="E181" t="s">
        <v>959</v>
      </c>
    </row>
    <row r="182" spans="1:5" x14ac:dyDescent="0.35">
      <c r="A182" t="s">
        <v>11</v>
      </c>
      <c r="B182" t="s">
        <v>963</v>
      </c>
      <c r="C182" t="str">
        <f t="shared" si="2"/>
        <v xml:space="preserve">Analyst InquiryFive dimensions of culture that are starting points for culture change. 
</v>
      </c>
      <c r="D182" t="s">
        <v>964</v>
      </c>
      <c r="E182" t="s">
        <v>965</v>
      </c>
    </row>
    <row r="183" spans="1:5" x14ac:dyDescent="0.35">
      <c r="A183" t="s">
        <v>11</v>
      </c>
      <c r="B183" t="s">
        <v>981</v>
      </c>
      <c r="C183" t="str">
        <f t="shared" si="2"/>
        <v>Analyst InquiryTroubleshoot roadblocks affecting culture change progress.</v>
      </c>
    </row>
    <row r="184" spans="1:5" x14ac:dyDescent="0.35">
      <c r="A184" t="s">
        <v>11</v>
      </c>
      <c r="B184" t="s">
        <v>995</v>
      </c>
      <c r="C184" t="str">
        <f t="shared" si="2"/>
        <v xml:space="preserve">Analyst InquiryDiscuss IT Score results with an analyst and prioritize actions to take to address gaps in security management.  </v>
      </c>
    </row>
    <row r="185" spans="1:5" x14ac:dyDescent="0.35">
      <c r="A185" t="s">
        <v>11</v>
      </c>
      <c r="B185" t="s">
        <v>1012</v>
      </c>
      <c r="C185" t="str">
        <f t="shared" si="2"/>
        <v>Analyst InquiryReview board presentation.</v>
      </c>
      <c r="D185" t="s">
        <v>1013</v>
      </c>
      <c r="E185" t="s">
        <v>1008</v>
      </c>
    </row>
    <row r="186" spans="1:5" x14ac:dyDescent="0.35">
      <c r="A186" t="s">
        <v>11</v>
      </c>
      <c r="B186" t="s">
        <v>1016</v>
      </c>
      <c r="C186" t="str">
        <f t="shared" si="2"/>
        <v>Analyst InquiryDocument Review of Security Incident Response Procedure.</v>
      </c>
    </row>
    <row r="187" spans="1:5" x14ac:dyDescent="0.35">
      <c r="A187" t="s">
        <v>11</v>
      </c>
      <c r="B187" t="s">
        <v>1017</v>
      </c>
      <c r="C187" t="str">
        <f t="shared" si="2"/>
        <v>Analyst InquiryEngage with an analyst on sensitive data classification and handling policies.</v>
      </c>
      <c r="D187" t="s">
        <v>1018</v>
      </c>
      <c r="E187" t="s">
        <v>1019</v>
      </c>
    </row>
    <row r="188" spans="1:5" x14ac:dyDescent="0.35">
      <c r="A188" t="s">
        <v>11</v>
      </c>
      <c r="B188" t="s">
        <v>1028</v>
      </c>
      <c r="C188" t="str">
        <f t="shared" si="2"/>
        <v>Analyst InquiryAnalyst discussion on budgeting, financial analytics, and investments relating to your data security initiatives.</v>
      </c>
      <c r="D188" t="s">
        <v>1029</v>
      </c>
      <c r="E188" t="s">
        <v>1030</v>
      </c>
    </row>
    <row r="189" spans="1:5" x14ac:dyDescent="0.35">
      <c r="A189" t="s">
        <v>11</v>
      </c>
      <c r="B189" t="s">
        <v>1038</v>
      </c>
      <c r="C189" t="str">
        <f t="shared" si="2"/>
        <v>Analyst InquiryRedo the IT Score, assessment, measure progress &amp; re-prioritize.</v>
      </c>
    </row>
    <row r="190" spans="1:5" x14ac:dyDescent="0.35">
      <c r="A190" t="s">
        <v>11</v>
      </c>
      <c r="B190" t="s">
        <v>1040</v>
      </c>
      <c r="C190" t="str">
        <f t="shared" si="2"/>
        <v>Analyst InquiryEngage with analysts on specific cost cutting priorities. Schedule analyst pricing/contract reviews.</v>
      </c>
    </row>
    <row r="191" spans="1:5" x14ac:dyDescent="0.35">
      <c r="A191" t="s">
        <v>11</v>
      </c>
      <c r="B191" t="s">
        <v>1041</v>
      </c>
      <c r="C191" t="str">
        <f t="shared" si="2"/>
        <v>Analyst InquiryReview upcoming purchases and contract renewals. Schedule reviews with analysts.</v>
      </c>
    </row>
    <row r="192" spans="1:5" x14ac:dyDescent="0.35">
      <c r="A192" t="s">
        <v>11</v>
      </c>
      <c r="B192" t="s">
        <v>1042</v>
      </c>
      <c r="C192" t="str">
        <f t="shared" si="2"/>
        <v>Analyst InquiryDiscuss cloud roadmap and how to leverage Gartner’s cloud strategy framework.</v>
      </c>
      <c r="D192" t="s">
        <v>1043</v>
      </c>
      <c r="E192" t="s">
        <v>1044</v>
      </c>
    </row>
    <row r="193" spans="1:5" x14ac:dyDescent="0.35">
      <c r="A193" t="s">
        <v>11</v>
      </c>
      <c r="B193" t="s">
        <v>1051</v>
      </c>
      <c r="C193" t="str">
        <f t="shared" si="2"/>
        <v xml:space="preserve">Analyst InquiryBuilding the business case for cloud strategy. Focus on articulating business benefits that are aligned with business goals. 
</v>
      </c>
      <c r="D193" t="s">
        <v>1052</v>
      </c>
      <c r="E193" t="s">
        <v>1053</v>
      </c>
    </row>
    <row r="194" spans="1:5" x14ac:dyDescent="0.35">
      <c r="A194" t="s">
        <v>11</v>
      </c>
      <c r="B194" t="s">
        <v>1062</v>
      </c>
      <c r="C194" t="str">
        <f t="shared" si="2"/>
        <v xml:space="preserve">Analyst InquiryLeverage Gartner analysts for cloud technology selection and contract/pricing negotiations. 
</v>
      </c>
      <c r="D194" t="s">
        <v>1063</v>
      </c>
      <c r="E194" t="s">
        <v>1064</v>
      </c>
    </row>
    <row r="195" spans="1:5" x14ac:dyDescent="0.35">
      <c r="A195" t="s">
        <v>11</v>
      </c>
      <c r="B195" t="s">
        <v>1069</v>
      </c>
      <c r="C195" t="str">
        <f t="shared" ref="C195:C258" si="3">CONCATENATE(A195,B195)</f>
        <v xml:space="preserve">Analyst InquiryUnderstand the next waves of technologies building on cloud and discuss how cloud computing capabilities can be leveraged to drive business benefits.
</v>
      </c>
      <c r="D195" t="s">
        <v>1056</v>
      </c>
      <c r="E195" t="s">
        <v>1070</v>
      </c>
    </row>
    <row r="196" spans="1:5" x14ac:dyDescent="0.35">
      <c r="A196" t="s">
        <v>11</v>
      </c>
      <c r="B196" t="s">
        <v>1071</v>
      </c>
      <c r="C196" t="str">
        <f t="shared" si="3"/>
        <v>Analyst InquiryHow to measure and communicate cloud benefits realization.</v>
      </c>
    </row>
    <row r="197" spans="1:5" x14ac:dyDescent="0.35">
      <c r="A197" t="s">
        <v>11</v>
      </c>
      <c r="B197" t="s">
        <v>1083</v>
      </c>
      <c r="C197" t="str">
        <f t="shared" si="3"/>
        <v xml:space="preserve">Analyst InquiryReview the governance charter. Discuss how CIOs must act as a change agent while transitioning to a new governance model.  </v>
      </c>
    </row>
    <row r="198" spans="1:5" x14ac:dyDescent="0.35">
      <c r="A198" t="s">
        <v>11</v>
      </c>
      <c r="B198" t="s">
        <v>1089</v>
      </c>
      <c r="C198" t="str">
        <f t="shared" si="3"/>
        <v>Analyst InquiryEngage with analysts to initiate/improve governance, focusing on the elements most critical to delivering value. Read first:</v>
      </c>
      <c r="D198" t="s">
        <v>1090</v>
      </c>
      <c r="E198" t="s">
        <v>1091</v>
      </c>
    </row>
    <row r="199" spans="1:5" x14ac:dyDescent="0.35">
      <c r="A199" t="s">
        <v>11</v>
      </c>
      <c r="B199" t="s">
        <v>1094</v>
      </c>
      <c r="C199" t="str">
        <f t="shared" si="3"/>
        <v>Analyst InquiryGovernance Strategies for Business Unit IT.</v>
      </c>
    </row>
    <row r="200" spans="1:5" x14ac:dyDescent="0.35">
      <c r="A200" t="s">
        <v>11</v>
      </c>
      <c r="B200" t="s">
        <v>1102</v>
      </c>
      <c r="C200" t="str">
        <f t="shared" si="3"/>
        <v>Analyst InquiryHow traditional budgeting and governance processes must change to handle the more exploratory and faster cadence of delivery.</v>
      </c>
      <c r="D200" t="s">
        <v>1103</v>
      </c>
      <c r="E200" t="s">
        <v>1104</v>
      </c>
    </row>
    <row r="201" spans="1:5" x14ac:dyDescent="0.35">
      <c r="A201" t="s">
        <v>11</v>
      </c>
      <c r="B201" t="s">
        <v>1107</v>
      </c>
      <c r="C201" t="str">
        <f t="shared" si="3"/>
        <v>Analyst InquiryImplement governance best practices across the enterprise.</v>
      </c>
      <c r="D201" t="s">
        <v>1108</v>
      </c>
      <c r="E201" t="s">
        <v>1109</v>
      </c>
    </row>
    <row r="202" spans="1:5" x14ac:dyDescent="0.35">
      <c r="A202" t="s">
        <v>11</v>
      </c>
      <c r="B202" t="s">
        <v>1112</v>
      </c>
      <c r="C202" t="str">
        <f t="shared" si="3"/>
        <v>Analyst InquiryIntroductory call – setting goals and objectives for an application strategy refresh.</v>
      </c>
    </row>
    <row r="203" spans="1:5" x14ac:dyDescent="0.35">
      <c r="A203" t="s">
        <v>11</v>
      </c>
      <c r="B203" t="s">
        <v>1116</v>
      </c>
      <c r="C203" t="str">
        <f t="shared" si="3"/>
        <v>Analyst InquiryLeverage toolkit to systematically evaluate the portfolios and communicate the fitness as inputs for further discussion.</v>
      </c>
      <c r="D203" t="s">
        <v>1117</v>
      </c>
      <c r="E203" t="s">
        <v>585</v>
      </c>
    </row>
    <row r="204" spans="1:5" x14ac:dyDescent="0.35">
      <c r="A204" t="s">
        <v>11</v>
      </c>
      <c r="B204" t="s">
        <v>1127</v>
      </c>
      <c r="C204" t="str">
        <f t="shared" si="3"/>
        <v>Analyst InquiryOn transforming processes to allocate resources to individual products.</v>
      </c>
      <c r="D204" t="s">
        <v>1128</v>
      </c>
      <c r="E204" t="s">
        <v>1129</v>
      </c>
    </row>
    <row r="205" spans="1:5" x14ac:dyDescent="0.35">
      <c r="A205" t="s">
        <v>11</v>
      </c>
      <c r="B205" t="s">
        <v>1136</v>
      </c>
      <c r="C205" t="str">
        <f t="shared" si="3"/>
        <v>Analyst InquiryReview application principals and strategy documents.</v>
      </c>
    </row>
    <row r="206" spans="1:5" x14ac:dyDescent="0.35">
      <c r="A206" t="s">
        <v>11</v>
      </c>
      <c r="B206" t="s">
        <v>1143</v>
      </c>
      <c r="C206" t="str">
        <f t="shared" si="3"/>
        <v>Analyst InquiryOn how to advance your application strategy with a rationalization program.</v>
      </c>
      <c r="D206" t="s">
        <v>1141</v>
      </c>
      <c r="E206" t="s">
        <v>1142</v>
      </c>
    </row>
    <row r="207" spans="1:5" x14ac:dyDescent="0.35">
      <c r="A207" t="s">
        <v>11</v>
      </c>
      <c r="B207" t="s">
        <v>1147</v>
      </c>
      <c r="C207" t="str">
        <f t="shared" si="3"/>
        <v>Analyst InquiryIncorporate continuous modernization in the application strategy.</v>
      </c>
      <c r="D207" t="s">
        <v>1148</v>
      </c>
      <c r="E207" t="s">
        <v>1149</v>
      </c>
    </row>
    <row r="208" spans="1:5" x14ac:dyDescent="0.35">
      <c r="A208" t="s">
        <v>11</v>
      </c>
      <c r="B208" t="s">
        <v>1152</v>
      </c>
      <c r="C208" t="str">
        <f t="shared" si="3"/>
        <v>Analyst InquiryReview of IT Score Results. Discuss Business Impact Analysis best practices.</v>
      </c>
    </row>
    <row r="209" spans="1:5" x14ac:dyDescent="0.35">
      <c r="A209" t="s">
        <v>11</v>
      </c>
      <c r="B209" t="s">
        <v>1158</v>
      </c>
      <c r="C209" t="str">
        <f t="shared" si="3"/>
        <v>Analyst InquiryBest practices for running a tabletop exercise.</v>
      </c>
      <c r="D209" t="s">
        <v>997</v>
      </c>
      <c r="E209" t="s">
        <v>1159</v>
      </c>
    </row>
    <row r="210" spans="1:5" x14ac:dyDescent="0.35">
      <c r="A210" t="s">
        <v>11</v>
      </c>
      <c r="B210" t="s">
        <v>1170</v>
      </c>
      <c r="C210" t="str">
        <f t="shared" si="3"/>
        <v>Analyst InquiryNext generation technologies for BCM.</v>
      </c>
      <c r="D210" t="s">
        <v>1171</v>
      </c>
      <c r="E210" t="s">
        <v>1172</v>
      </c>
    </row>
    <row r="211" spans="1:5" x14ac:dyDescent="0.35">
      <c r="A211" t="s">
        <v>11</v>
      </c>
      <c r="B211" t="s">
        <v>1173</v>
      </c>
      <c r="C211" t="str">
        <f t="shared" si="3"/>
        <v>Analyst InquiryRerun the ITScore,. assess progress and prioritize next steps.</v>
      </c>
    </row>
    <row r="212" spans="1:5" x14ac:dyDescent="0.35">
      <c r="A212" t="s">
        <v>11</v>
      </c>
      <c r="B212" t="s">
        <v>1175</v>
      </c>
      <c r="C212" t="str">
        <f t="shared" si="3"/>
        <v xml:space="preserve">Analyst InquiryReview current Data Center set-up. Envisage the end state infrastructure that will deliver on future goals and business ambition. </v>
      </c>
      <c r="D212" t="s">
        <v>1176</v>
      </c>
      <c r="E212" t="s">
        <v>1177</v>
      </c>
    </row>
    <row r="213" spans="1:5" x14ac:dyDescent="0.35">
      <c r="A213" t="s">
        <v>11</v>
      </c>
      <c r="B213" t="s">
        <v>1185</v>
      </c>
      <c r="C213" t="str">
        <f t="shared" si="3"/>
        <v>Analyst InquiryReview Data Center migration plan with an analyst to lower the risk of budget overruns,</v>
      </c>
      <c r="D213" t="s">
        <v>1186</v>
      </c>
      <c r="E213" t="s">
        <v>1187</v>
      </c>
    </row>
    <row r="214" spans="1:5" x14ac:dyDescent="0.35">
      <c r="A214" t="s">
        <v>11</v>
      </c>
      <c r="B214" t="s">
        <v>1192</v>
      </c>
      <c r="C214" t="str">
        <f t="shared" si="3"/>
        <v>Analyst InquiryCall with an analyst to support Roadmap implementation – platform architecture, technology options, integration, security etc.</v>
      </c>
    </row>
    <row r="215" spans="1:5" x14ac:dyDescent="0.35">
      <c r="A215" t="s">
        <v>11</v>
      </c>
      <c r="B215" t="s">
        <v>1197</v>
      </c>
      <c r="C215" t="str">
        <f t="shared" si="3"/>
        <v xml:space="preserve">Analyst InquiryDiscuss the impact of a Hybrid model infrastructure on resilience and plan steps to increase enterprise resilience post-migration. </v>
      </c>
      <c r="D215" t="s">
        <v>1198</v>
      </c>
      <c r="E215" t="s">
        <v>1199</v>
      </c>
    </row>
    <row r="216" spans="1:5" x14ac:dyDescent="0.35">
      <c r="A216" t="s">
        <v>11</v>
      </c>
      <c r="B216" t="s">
        <v>1213</v>
      </c>
      <c r="C216" t="str">
        <f t="shared" si="3"/>
        <v>Analyst InquiryTop trends for Data Center Infratructure.</v>
      </c>
    </row>
    <row r="217" spans="1:5" x14ac:dyDescent="0.35">
      <c r="A217" t="s">
        <v>11</v>
      </c>
      <c r="B217" t="s">
        <v>1220</v>
      </c>
      <c r="C217" t="str">
        <f t="shared" si="3"/>
        <v>Analyst InquiryEngage with analysts to review assessment results and  discuss roadmap steps for platform renovation.</v>
      </c>
    </row>
    <row r="218" spans="1:5" x14ac:dyDescent="0.35">
      <c r="A218" t="s">
        <v>11</v>
      </c>
      <c r="B218" t="s">
        <v>1225</v>
      </c>
      <c r="C218" t="str">
        <f t="shared" si="3"/>
        <v>Analyst InquiryConsiderations for point to point integration.</v>
      </c>
      <c r="D218" t="s">
        <v>1226</v>
      </c>
      <c r="E218" t="s">
        <v>1227</v>
      </c>
    </row>
    <row r="219" spans="1:5" x14ac:dyDescent="0.35">
      <c r="A219" t="s">
        <v>11</v>
      </c>
      <c r="B219" t="s">
        <v>1233</v>
      </c>
      <c r="C219" t="str">
        <f t="shared" si="3"/>
        <v>Analyst InquiryCloud and SaaS integration.</v>
      </c>
      <c r="D219" t="s">
        <v>1234</v>
      </c>
      <c r="E219" t="s">
        <v>1235</v>
      </c>
    </row>
    <row r="220" spans="1:5" x14ac:dyDescent="0.35">
      <c r="A220" t="s">
        <v>11</v>
      </c>
      <c r="B220" t="s">
        <v>1237</v>
      </c>
      <c r="C220" t="str">
        <f t="shared" si="3"/>
        <v>Analyst InquiryEnhancing integration platforms with machine-learning capabilities.</v>
      </c>
      <c r="D220" t="s">
        <v>1238</v>
      </c>
      <c r="E220" t="s">
        <v>1239</v>
      </c>
    </row>
    <row r="221" spans="1:5" x14ac:dyDescent="0.35">
      <c r="A221" t="s">
        <v>11</v>
      </c>
      <c r="B221" t="s">
        <v>1246</v>
      </c>
      <c r="C221" t="str">
        <f t="shared" si="3"/>
        <v>Analyst InquiryReview ITScore results. Agree on immediate actions for evolving portfolio and resource management practices.</v>
      </c>
    </row>
    <row r="222" spans="1:5" x14ac:dyDescent="0.35">
      <c r="A222" t="s">
        <v>11</v>
      </c>
      <c r="B222" t="s">
        <v>1247</v>
      </c>
      <c r="C222" t="str">
        <f t="shared" si="3"/>
        <v>Analyst InquiryOn techniques to reach advanced PPM maturity.</v>
      </c>
      <c r="D222" t="s">
        <v>1248</v>
      </c>
      <c r="E222" t="s">
        <v>1249</v>
      </c>
    </row>
    <row r="223" spans="1:5" x14ac:dyDescent="0.35">
      <c r="A223" t="s">
        <v>11</v>
      </c>
      <c r="B223" t="s">
        <v>1250</v>
      </c>
      <c r="C223" t="str">
        <f t="shared" si="3"/>
        <v>Analyst InquiryGenerate insights into the maturity and viability of various capabilities to transform PPM delivery.</v>
      </c>
      <c r="D223" t="s">
        <v>1251</v>
      </c>
      <c r="E223" t="s">
        <v>1252</v>
      </c>
    </row>
    <row r="224" spans="1:5" x14ac:dyDescent="0.35">
      <c r="A224" t="s">
        <v>11</v>
      </c>
      <c r="B224" t="s">
        <v>1253</v>
      </c>
      <c r="C224" t="str">
        <f t="shared" si="3"/>
        <v>Analyst InquiryMoving from projects to products.</v>
      </c>
    </row>
    <row r="225" spans="1:5" x14ac:dyDescent="0.35">
      <c r="A225" t="s">
        <v>11</v>
      </c>
      <c r="B225" t="s">
        <v>1254</v>
      </c>
      <c r="C225" t="str">
        <f t="shared" si="3"/>
        <v>Analyst InquiryLeverage Gartner Maturity model to plan with regard to resource capacity planning.</v>
      </c>
      <c r="D225" t="s">
        <v>1255</v>
      </c>
      <c r="E225" t="s">
        <v>1256</v>
      </c>
    </row>
    <row r="226" spans="1:5" x14ac:dyDescent="0.35">
      <c r="A226" t="s">
        <v>11</v>
      </c>
      <c r="B226" t="s">
        <v>1265</v>
      </c>
      <c r="C226" t="str">
        <f t="shared" si="3"/>
        <v>Analyst InquiryBimodal considerations for portfolio management.</v>
      </c>
      <c r="D226" t="s">
        <v>1266</v>
      </c>
      <c r="E226" t="s">
        <v>1104</v>
      </c>
    </row>
    <row r="227" spans="1:5" x14ac:dyDescent="0.35">
      <c r="A227" t="s">
        <v>11</v>
      </c>
      <c r="B227" t="s">
        <v>1270</v>
      </c>
      <c r="C227" t="str">
        <f t="shared" si="3"/>
        <v>Analyst InquiryFollow Gartner’s three steps to adaptive governance to balance and enable decisions, as well as prioritize value and delivery outcomes.</v>
      </c>
      <c r="D227" t="s">
        <v>1271</v>
      </c>
      <c r="E227" t="s">
        <v>1272</v>
      </c>
    </row>
    <row r="228" spans="1:5" x14ac:dyDescent="0.35">
      <c r="A228" t="s">
        <v>11</v>
      </c>
      <c r="B228" t="s">
        <v>1273</v>
      </c>
      <c r="C228" t="str">
        <f t="shared" si="3"/>
        <v>Analyst InquiryReview best practices for designing an effective portfolio dashboard.</v>
      </c>
      <c r="D228" t="s">
        <v>1274</v>
      </c>
      <c r="E228" t="s">
        <v>1275</v>
      </c>
    </row>
    <row r="229" spans="1:5" x14ac:dyDescent="0.35">
      <c r="A229" t="s">
        <v>11</v>
      </c>
      <c r="B229" t="s">
        <v>1283</v>
      </c>
      <c r="C229" t="str">
        <f t="shared" si="3"/>
        <v xml:space="preserve">Analyst InquiryDeveloping a vendor management mission and charter including governance policies and procedures.  </v>
      </c>
      <c r="D229" t="s">
        <v>1284</v>
      </c>
      <c r="E229" t="s">
        <v>1285</v>
      </c>
    </row>
    <row r="230" spans="1:5" x14ac:dyDescent="0.35">
      <c r="A230" t="s">
        <v>11</v>
      </c>
      <c r="B230" t="s">
        <v>1286</v>
      </c>
      <c r="C230" t="str">
        <f t="shared" si="3"/>
        <v>Analyst InquiryCreate a realistic plan for what needs to be accomplished, by whom and when, based on the assessment results.</v>
      </c>
      <c r="D230" t="s">
        <v>1287</v>
      </c>
      <c r="E230" t="s">
        <v>1288</v>
      </c>
    </row>
    <row r="231" spans="1:5" x14ac:dyDescent="0.35">
      <c r="A231" t="s">
        <v>11</v>
      </c>
      <c r="B231" t="s">
        <v>1289</v>
      </c>
      <c r="C231" t="str">
        <f t="shared" si="3"/>
        <v>Analyst InquiryDiscuss segmentation of vendors as an initial step towards improving the vendor management capability.</v>
      </c>
      <c r="D231" t="s">
        <v>1290</v>
      </c>
      <c r="E231" t="s">
        <v>1291</v>
      </c>
    </row>
    <row r="232" spans="1:5" x14ac:dyDescent="0.35">
      <c r="A232" t="s">
        <v>11</v>
      </c>
      <c r="B232" t="s">
        <v>1298</v>
      </c>
      <c r="C232" t="str">
        <f t="shared" si="3"/>
        <v>Analyst InquiryReview ITScore results. Discuss segmentation of vendors as an initial step.</v>
      </c>
      <c r="D232" t="s">
        <v>1299</v>
      </c>
      <c r="E232" t="s">
        <v>1291</v>
      </c>
    </row>
    <row r="233" spans="1:5" x14ac:dyDescent="0.35">
      <c r="A233" t="s">
        <v>11</v>
      </c>
      <c r="B233" t="s">
        <v>1300</v>
      </c>
      <c r="C233" t="str">
        <f t="shared" si="3"/>
        <v>Analyst InquiryEstablishing a vendor scorecard to drive continuous improvement.</v>
      </c>
      <c r="D233" t="s">
        <v>1301</v>
      </c>
      <c r="E233" t="s">
        <v>1302</v>
      </c>
    </row>
    <row r="234" spans="1:5" x14ac:dyDescent="0.35">
      <c r="A234" t="s">
        <v>11</v>
      </c>
      <c r="B234" t="s">
        <v>1312</v>
      </c>
      <c r="C234" t="str">
        <f t="shared" si="3"/>
        <v>Analyst InquiryDiscuss the impact of bimodal innovation and evaluate the chance of success. Read first:</v>
      </c>
      <c r="D234" t="s">
        <v>1313</v>
      </c>
      <c r="E234" t="s">
        <v>1314</v>
      </c>
    </row>
    <row r="235" spans="1:5" x14ac:dyDescent="0.35">
      <c r="A235" t="s">
        <v>11</v>
      </c>
      <c r="B235" t="s">
        <v>1325</v>
      </c>
      <c r="C235" t="str">
        <f t="shared" si="3"/>
        <v>Analyst InquiryComplete the Digital Urgency Assessment, review results. Identify next steps.</v>
      </c>
      <c r="D235" t="s">
        <v>1326</v>
      </c>
      <c r="E235" t="s">
        <v>1327</v>
      </c>
    </row>
    <row r="236" spans="1:5" x14ac:dyDescent="0.35">
      <c r="A236" t="s">
        <v>11</v>
      </c>
      <c r="B236" t="s">
        <v>1337</v>
      </c>
      <c r="C236" t="str">
        <f t="shared" si="3"/>
        <v>Analyst InquiryReview digital strategy and plan. Discuss best practices for success in implementation and execution phase of digital strategy.</v>
      </c>
    </row>
    <row r="237" spans="1:5" x14ac:dyDescent="0.35">
      <c r="A237" t="s">
        <v>11</v>
      </c>
      <c r="B237" t="s">
        <v>1346</v>
      </c>
      <c r="C237" t="str">
        <f t="shared" si="3"/>
        <v xml:space="preserve">Analyst InquiryDigital Business Fundamentals: Adopting bimodal across the enterprise to enable digital business initiatives.
</v>
      </c>
      <c r="D237" t="s">
        <v>1347</v>
      </c>
      <c r="E237" t="s">
        <v>1348</v>
      </c>
    </row>
    <row r="238" spans="1:5" x14ac:dyDescent="0.35">
      <c r="A238" t="s">
        <v>11</v>
      </c>
      <c r="B238" t="s">
        <v>1354</v>
      </c>
      <c r="C238" t="str">
        <f t="shared" si="3"/>
        <v xml:space="preserve">Analyst InquiryReview latest digital technologies being used to create new business models, services and experiences. Discuss how and where these can be adopted.
</v>
      </c>
      <c r="D238" t="s">
        <v>1355</v>
      </c>
      <c r="E238" t="s">
        <v>1356</v>
      </c>
    </row>
    <row r="239" spans="1:5" x14ac:dyDescent="0.35">
      <c r="A239" t="s">
        <v>11</v>
      </c>
      <c r="B239" t="s">
        <v>1361</v>
      </c>
      <c r="C239" t="str">
        <f t="shared" si="3"/>
        <v>Analyst InquiryDevelop metrics and set goals that layout digital business journey and sharpen expected business outcomes.</v>
      </c>
      <c r="D239" t="s">
        <v>539</v>
      </c>
      <c r="E239" t="s">
        <v>540</v>
      </c>
    </row>
    <row r="240" spans="1:5" x14ac:dyDescent="0.35">
      <c r="A240" t="s">
        <v>11</v>
      </c>
      <c r="B240" t="s">
        <v>1369</v>
      </c>
      <c r="C240" t="str">
        <f t="shared" si="3"/>
        <v xml:space="preserve">Analyst InquiryRe-design the “I&amp;T” operating model, to support agility, speed and innovation for digital. 
</v>
      </c>
      <c r="D240" t="s">
        <v>1370</v>
      </c>
      <c r="E240" t="s">
        <v>418</v>
      </c>
    </row>
    <row r="241" spans="1:5" x14ac:dyDescent="0.35">
      <c r="A241" t="s">
        <v>11</v>
      </c>
      <c r="B241" t="s">
        <v>1372</v>
      </c>
      <c r="C241" t="str">
        <f t="shared" si="3"/>
        <v>Analyst InquiryDesign an “I&amp;T” operating model, which will support digital business with agility, speed and innovation</v>
      </c>
      <c r="D241" t="s">
        <v>1370</v>
      </c>
      <c r="E241" t="s">
        <v>418</v>
      </c>
    </row>
    <row r="242" spans="1:5" x14ac:dyDescent="0.35">
      <c r="A242" t="s">
        <v>11</v>
      </c>
      <c r="B242" t="s">
        <v>1384</v>
      </c>
      <c r="C242" t="str">
        <f t="shared" si="3"/>
        <v>Analyst InquiryA technology strategy for scaling digital business.</v>
      </c>
      <c r="D242" t="s">
        <v>1385</v>
      </c>
      <c r="E242" t="s">
        <v>1386</v>
      </c>
    </row>
    <row r="243" spans="1:5" x14ac:dyDescent="0.35">
      <c r="A243" t="s">
        <v>11</v>
      </c>
      <c r="B243" t="s">
        <v>1387</v>
      </c>
      <c r="C243" t="str">
        <f t="shared" si="3"/>
        <v>Analyst InquiryReview digital landscape and identify shifts and investments needed to scale digital.</v>
      </c>
      <c r="D243" t="s">
        <v>1385</v>
      </c>
      <c r="E243" t="s">
        <v>1386</v>
      </c>
    </row>
    <row r="244" spans="1:5" x14ac:dyDescent="0.35">
      <c r="A244" t="s">
        <v>11</v>
      </c>
      <c r="B244" t="s">
        <v>1394</v>
      </c>
      <c r="C244" t="str">
        <f t="shared" si="3"/>
        <v>Analyst InquiryBuilding Digital Dexterity</v>
      </c>
      <c r="D244" t="s">
        <v>1395</v>
      </c>
      <c r="E244" t="s">
        <v>1396</v>
      </c>
    </row>
    <row r="245" spans="1:5" x14ac:dyDescent="0.35">
      <c r="A245" t="s">
        <v>11</v>
      </c>
      <c r="B245" t="s">
        <v>1409</v>
      </c>
      <c r="C245" t="str">
        <f t="shared" si="3"/>
        <v xml:space="preserve">Analyst InquiryDiscuss how APIs can help expand and scale the digital ecosystem.
</v>
      </c>
      <c r="D245" t="s">
        <v>1410</v>
      </c>
      <c r="E245" t="s">
        <v>1411</v>
      </c>
    </row>
    <row r="246" spans="1:5" x14ac:dyDescent="0.35">
      <c r="A246" t="s">
        <v>11</v>
      </c>
      <c r="B246" t="s">
        <v>1412</v>
      </c>
      <c r="C246" t="str">
        <f t="shared" si="3"/>
        <v>Analyst InquiryExpanding the ecosystem.</v>
      </c>
      <c r="D246" t="s">
        <v>1410</v>
      </c>
      <c r="E246" t="s">
        <v>1411</v>
      </c>
    </row>
    <row r="247" spans="1:5" x14ac:dyDescent="0.35">
      <c r="A247" t="s">
        <v>11</v>
      </c>
      <c r="B247" t="s">
        <v>1421</v>
      </c>
      <c r="C247" t="str">
        <f t="shared" si="3"/>
        <v>Analyst InquiryReview digital urgency results and discuss strategies for getting started.</v>
      </c>
    </row>
    <row r="248" spans="1:5" x14ac:dyDescent="0.35">
      <c r="A248" t="s">
        <v>11</v>
      </c>
      <c r="B248" t="s">
        <v>1429</v>
      </c>
      <c r="C248" t="str">
        <f t="shared" si="3"/>
        <v>Analyst InquiryTop technology trends and opportunities.</v>
      </c>
      <c r="D248" t="s">
        <v>1430</v>
      </c>
      <c r="E248" t="s">
        <v>1431</v>
      </c>
    </row>
    <row r="249" spans="1:5" x14ac:dyDescent="0.35">
      <c r="A249" t="s">
        <v>11</v>
      </c>
      <c r="B249" t="s">
        <v>1436</v>
      </c>
      <c r="C249" t="str">
        <f t="shared" si="3"/>
        <v>Analyst InquiryOpportunities for leveraging Smart City technologies.</v>
      </c>
      <c r="D249" t="s">
        <v>1437</v>
      </c>
      <c r="E249" t="s">
        <v>1438</v>
      </c>
    </row>
    <row r="250" spans="1:5" x14ac:dyDescent="0.35">
      <c r="A250" t="s">
        <v>11</v>
      </c>
      <c r="B250" t="s">
        <v>1439</v>
      </c>
      <c r="C250" t="str">
        <f t="shared" si="3"/>
        <v>Analyst InquiryReview use of ecosystem maps and modeling to identify metrics indicating "health" of the ecosystem.</v>
      </c>
      <c r="D250" t="s">
        <v>1440</v>
      </c>
      <c r="E250" t="s">
        <v>1441</v>
      </c>
    </row>
    <row r="251" spans="1:5" x14ac:dyDescent="0.35">
      <c r="A251" t="s">
        <v>11</v>
      </c>
      <c r="B251" t="s">
        <v>1455</v>
      </c>
      <c r="C251" t="str">
        <f t="shared" si="3"/>
        <v>Analyst InquiryInitial discussion. Discuss strategy and prioritization.</v>
      </c>
      <c r="D251" t="s">
        <v>1456</v>
      </c>
      <c r="E251" t="s">
        <v>1457</v>
      </c>
    </row>
    <row r="252" spans="1:5" x14ac:dyDescent="0.35">
      <c r="A252" t="s">
        <v>11</v>
      </c>
      <c r="B252" t="s">
        <v>1461</v>
      </c>
      <c r="C252" t="str">
        <f t="shared" si="3"/>
        <v>Analyst InquiryTop technology trends and opportunities for digitalization in oil and gas.</v>
      </c>
      <c r="D252" t="s">
        <v>1462</v>
      </c>
      <c r="E252" t="s">
        <v>1463</v>
      </c>
    </row>
    <row r="253" spans="1:5" x14ac:dyDescent="0.35">
      <c r="A253" t="s">
        <v>11</v>
      </c>
      <c r="B253" t="s">
        <v>1465</v>
      </c>
      <c r="C253" t="str">
        <f t="shared" si="3"/>
        <v>Analyst InquiryThe use of AI in digital transformation.</v>
      </c>
      <c r="D253" t="s">
        <v>1466</v>
      </c>
      <c r="E253" t="s">
        <v>1467</v>
      </c>
    </row>
    <row r="254" spans="1:5" x14ac:dyDescent="0.35">
      <c r="A254" t="s">
        <v>11</v>
      </c>
      <c r="B254" t="s">
        <v>1468</v>
      </c>
      <c r="C254" t="str">
        <f t="shared" si="3"/>
        <v>Analyst InquiryReview progress. Revisit strategic priorities.for digital</v>
      </c>
      <c r="D254" t="s">
        <v>1469</v>
      </c>
      <c r="E254" t="s">
        <v>1470</v>
      </c>
    </row>
    <row r="255" spans="1:5" x14ac:dyDescent="0.35">
      <c r="A255" t="s">
        <v>11</v>
      </c>
      <c r="B255" t="s">
        <v>1481</v>
      </c>
      <c r="C255" t="str">
        <f t="shared" si="3"/>
        <v>Analyst InquiryReview ITBudget Results.</v>
      </c>
    </row>
    <row r="256" spans="1:5" x14ac:dyDescent="0.35">
      <c r="A256" t="s">
        <v>11</v>
      </c>
      <c r="B256" t="s">
        <v>1491</v>
      </c>
      <c r="C256" t="str">
        <f t="shared" si="3"/>
        <v>Analyst InquiryOn speaking the languages of “finance” and “business outcomes” to effectively communicate the business value of IT.</v>
      </c>
      <c r="D256" t="s">
        <v>1492</v>
      </c>
      <c r="E256" t="s">
        <v>1493</v>
      </c>
    </row>
    <row r="257" spans="1:5" x14ac:dyDescent="0.35">
      <c r="A257" t="s">
        <v>11</v>
      </c>
      <c r="B257" t="s">
        <v>1494</v>
      </c>
      <c r="C257" t="str">
        <f t="shared" si="3"/>
        <v>Analyst InquiryUpdating tools for financial management.</v>
      </c>
      <c r="D257" t="s">
        <v>1495</v>
      </c>
      <c r="E257" t="s">
        <v>1496</v>
      </c>
    </row>
    <row r="258" spans="1:5" x14ac:dyDescent="0.35">
      <c r="A258" t="s">
        <v>11</v>
      </c>
      <c r="B258" t="s">
        <v>1511</v>
      </c>
      <c r="C258" t="str">
        <f t="shared" si="3"/>
        <v>Analyst InquiryKicking off a DevOps initiative.</v>
      </c>
      <c r="D258" t="s">
        <v>1512</v>
      </c>
      <c r="E258" t="s">
        <v>1513</v>
      </c>
    </row>
    <row r="259" spans="1:5" x14ac:dyDescent="0.35">
      <c r="A259" t="s">
        <v>11</v>
      </c>
      <c r="B259" t="s">
        <v>1524</v>
      </c>
      <c r="C259" t="str">
        <f t="shared" ref="C259:C322" si="4">CONCATENATE(A259,B259)</f>
        <v>Analyst InquiryBest practices for Devops toolchains</v>
      </c>
      <c r="D259" t="s">
        <v>1525</v>
      </c>
      <c r="E259" t="s">
        <v>1526</v>
      </c>
    </row>
    <row r="260" spans="1:5" x14ac:dyDescent="0.35">
      <c r="A260" t="s">
        <v>11</v>
      </c>
      <c r="B260" t="s">
        <v>1530</v>
      </c>
      <c r="C260" t="str">
        <f t="shared" si="4"/>
        <v>Analyst InquiryIdentifying the right time to scale DevOps.</v>
      </c>
      <c r="D260" t="s">
        <v>1531</v>
      </c>
      <c r="E260" t="s">
        <v>1532</v>
      </c>
    </row>
    <row r="261" spans="1:5" x14ac:dyDescent="0.35">
      <c r="A261" t="s">
        <v>11</v>
      </c>
      <c r="B261" t="s">
        <v>1543</v>
      </c>
      <c r="C261" t="str">
        <f t="shared" si="4"/>
        <v>Analyst InquiryReview ITScore results. Choose the best match  PMO setup from the four types that deliver value: Activist; Delivery; Centralized; Compliance.</v>
      </c>
    </row>
    <row r="262" spans="1:5" x14ac:dyDescent="0.35">
      <c r="A262" t="s">
        <v>11</v>
      </c>
      <c r="B262" t="s">
        <v>1544</v>
      </c>
      <c r="C262" t="str">
        <f t="shared" si="4"/>
        <v>Analyst InquiryTroubleshoot issues with an analyst. Leverage research, for e.g.,</v>
      </c>
      <c r="D262" t="s">
        <v>1545</v>
      </c>
      <c r="E262" t="s">
        <v>1546</v>
      </c>
    </row>
    <row r="263" spans="1:5" x14ac:dyDescent="0.35">
      <c r="A263" t="s">
        <v>11</v>
      </c>
      <c r="B263" t="s">
        <v>1553</v>
      </c>
      <c r="C263" t="str">
        <f t="shared" si="4"/>
        <v>Analyst InquiryReview the current performance dashboards, identify improvements.</v>
      </c>
      <c r="D263" t="s">
        <v>562</v>
      </c>
      <c r="E263" t="s">
        <v>563</v>
      </c>
    </row>
    <row r="264" spans="1:5" x14ac:dyDescent="0.35">
      <c r="A264" t="s">
        <v>11</v>
      </c>
      <c r="B264" t="s">
        <v>1557</v>
      </c>
      <c r="C264" t="str">
        <f t="shared" si="4"/>
        <v>Analyst InquiryLearn about the emerging "Activist Investor" style of PMO.</v>
      </c>
      <c r="D264" t="s">
        <v>1558</v>
      </c>
      <c r="E264" t="s">
        <v>1559</v>
      </c>
    </row>
    <row r="265" spans="1:5" x14ac:dyDescent="0.35">
      <c r="A265" t="s">
        <v>11</v>
      </c>
      <c r="B265" t="s">
        <v>1563</v>
      </c>
      <c r="C265" t="str">
        <f t="shared" si="4"/>
        <v>Analyst InquiryPerform ITScore assessment to determine current state maturity and identify opportunities for improvements.</v>
      </c>
      <c r="D265" t="s">
        <v>1564</v>
      </c>
      <c r="E265" t="s">
        <v>1565</v>
      </c>
    </row>
    <row r="266" spans="1:5" x14ac:dyDescent="0.35">
      <c r="A266" t="s">
        <v>11</v>
      </c>
      <c r="B266" t="s">
        <v>1566</v>
      </c>
      <c r="C266" t="str">
        <f t="shared" si="4"/>
        <v>Analyst InquiryReview ITScore results. Identify opportunities for improvements to build a world-class EA capability.</v>
      </c>
    </row>
    <row r="267" spans="1:5" x14ac:dyDescent="0.35">
      <c r="A267" t="s">
        <v>11</v>
      </c>
      <c r="B267" t="s">
        <v>1567</v>
      </c>
      <c r="C267" t="str">
        <f t="shared" si="4"/>
        <v>Analyst InquiryEstablish the basis for understanding within the team.</v>
      </c>
      <c r="D267" t="s">
        <v>1568</v>
      </c>
      <c r="E267" t="s">
        <v>1569</v>
      </c>
    </row>
    <row r="268" spans="1:5" x14ac:dyDescent="0.35">
      <c r="A268" t="s">
        <v>11</v>
      </c>
      <c r="B268" t="s">
        <v>1573</v>
      </c>
      <c r="C268" t="str">
        <f t="shared" si="4"/>
        <v>Analyst InquiryUnderstand tool requirements for designing use cases and selecting EA tools to deliver business value.</v>
      </c>
      <c r="D268" t="s">
        <v>1574</v>
      </c>
      <c r="E268" t="s">
        <v>1575</v>
      </c>
    </row>
    <row r="269" spans="1:5" x14ac:dyDescent="0.35">
      <c r="A269" t="s">
        <v>11</v>
      </c>
      <c r="B269" t="s">
        <v>1585</v>
      </c>
      <c r="C269" t="str">
        <f t="shared" si="4"/>
        <v>Analyst InquiryDevelop and apply standards through the EA governance model.</v>
      </c>
      <c r="D269" t="s">
        <v>1586</v>
      </c>
      <c r="E269" t="s">
        <v>1587</v>
      </c>
    </row>
    <row r="270" spans="1:5" x14ac:dyDescent="0.35">
      <c r="A270" t="s">
        <v>11</v>
      </c>
      <c r="B270" t="s">
        <v>1588</v>
      </c>
      <c r="C270" t="str">
        <f t="shared" si="4"/>
        <v>Analyst InquiryEstablish measurable criteria to improve stakeholder communication and guide architecture to achieve business outcomes.</v>
      </c>
      <c r="D270" t="s">
        <v>1589</v>
      </c>
      <c r="E270" t="s">
        <v>1590</v>
      </c>
    </row>
    <row r="271" spans="1:5" x14ac:dyDescent="0.35">
      <c r="A271" t="s">
        <v>11</v>
      </c>
      <c r="B271" t="s">
        <v>1604</v>
      </c>
      <c r="C271" t="str">
        <f t="shared" si="4"/>
        <v>Analyst InquiryDiscuss assessment results. Revisit your scope, scale, needs and goals of IAM</v>
      </c>
    </row>
    <row r="272" spans="1:5" x14ac:dyDescent="0.35">
      <c r="A272" t="s">
        <v>11</v>
      </c>
      <c r="B272" t="s">
        <v>1612</v>
      </c>
      <c r="C272" t="str">
        <f t="shared" si="4"/>
        <v>Analyst InquiryDiscuss the vendor landscape for IAM services.</v>
      </c>
      <c r="D272" t="s">
        <v>1613</v>
      </c>
      <c r="E272" t="s">
        <v>1614</v>
      </c>
    </row>
    <row r="273" spans="1:5" x14ac:dyDescent="0.35">
      <c r="A273" t="s">
        <v>11</v>
      </c>
      <c r="B273" t="s">
        <v>1618</v>
      </c>
      <c r="C273" t="str">
        <f t="shared" si="4"/>
        <v>Analyst InquiryRedo the self assessment with an Analyst and compare with prior year.</v>
      </c>
    </row>
    <row r="274" spans="1:5" x14ac:dyDescent="0.35">
      <c r="A274" t="s">
        <v>11</v>
      </c>
      <c r="B274" t="s">
        <v>1622</v>
      </c>
      <c r="C274" t="str">
        <f t="shared" si="4"/>
        <v>Analyst InquiryReview digital urgency assessment results. Prioritize digital initiatives.</v>
      </c>
      <c r="D274" t="s">
        <v>1623</v>
      </c>
      <c r="E274" t="s">
        <v>1624</v>
      </c>
    </row>
    <row r="275" spans="1:5" x14ac:dyDescent="0.35">
      <c r="A275" t="s">
        <v>11</v>
      </c>
      <c r="B275" t="s">
        <v>1625</v>
      </c>
      <c r="C275" t="str">
        <f t="shared" si="4"/>
        <v xml:space="preserve">Analyst InquiryLeverage the research to assess the current digital capability of the organization </v>
      </c>
      <c r="D275" t="s">
        <v>1626</v>
      </c>
      <c r="E275" t="s">
        <v>1627</v>
      </c>
    </row>
    <row r="276" spans="1:5" x14ac:dyDescent="0.35">
      <c r="A276" t="s">
        <v>11</v>
      </c>
      <c r="B276" t="s">
        <v>1628</v>
      </c>
      <c r="C276" t="str">
        <f t="shared" si="4"/>
        <v xml:space="preserve">Analyst InquiryWhich technologies are enabling digital business transformation and delivering tangible value. </v>
      </c>
      <c r="D276" t="s">
        <v>1629</v>
      </c>
      <c r="E276" t="s">
        <v>1630</v>
      </c>
    </row>
    <row r="277" spans="1:5" x14ac:dyDescent="0.35">
      <c r="A277" t="s">
        <v>11</v>
      </c>
      <c r="B277" t="s">
        <v>1631</v>
      </c>
      <c r="C277" t="str">
        <f t="shared" si="4"/>
        <v xml:space="preserve">Analyst InquiryAssess the best tools which would be helpful in pharma related innovation </v>
      </c>
      <c r="D277" t="s">
        <v>1632</v>
      </c>
      <c r="E277" t="s">
        <v>1633</v>
      </c>
    </row>
    <row r="278" spans="1:5" x14ac:dyDescent="0.35">
      <c r="A278" t="s">
        <v>11</v>
      </c>
      <c r="B278" t="s">
        <v>1635</v>
      </c>
      <c r="C278" t="str">
        <f t="shared" si="4"/>
        <v>Analyst InquiryHow to drive the use of real-world data analytics.</v>
      </c>
      <c r="D278" t="s">
        <v>1636</v>
      </c>
      <c r="E278" t="s">
        <v>1637</v>
      </c>
    </row>
    <row r="279" spans="1:5" x14ac:dyDescent="0.35">
      <c r="A279" t="s">
        <v>11</v>
      </c>
      <c r="B279" t="s">
        <v>1638</v>
      </c>
      <c r="C279" t="str">
        <f t="shared" si="4"/>
        <v xml:space="preserve">Analyst InquiryLeverage the toolkit to analyze the capability of the vendors and select the final vendor to implement digital capability in the organization </v>
      </c>
      <c r="D279" t="s">
        <v>1639</v>
      </c>
      <c r="E279" t="s">
        <v>1640</v>
      </c>
    </row>
    <row r="280" spans="1:5" x14ac:dyDescent="0.35">
      <c r="A280" t="s">
        <v>11</v>
      </c>
      <c r="B280" t="s">
        <v>1646</v>
      </c>
      <c r="C280" t="str">
        <f t="shared" si="4"/>
        <v xml:space="preserve">Analyst InquiryDevelop a road-map to provide next generation of healthcare to patients . </v>
      </c>
      <c r="D280" t="s">
        <v>1647</v>
      </c>
      <c r="E280" t="s">
        <v>1648</v>
      </c>
    </row>
    <row r="281" spans="1:5" x14ac:dyDescent="0.35">
      <c r="A281" t="s">
        <v>11</v>
      </c>
      <c r="B281" t="s">
        <v>1649</v>
      </c>
      <c r="C281" t="str">
        <f t="shared" si="4"/>
        <v xml:space="preserve">Analyst InquiryAssess current readiness to adapt for the next generation healthcare services. </v>
      </c>
    </row>
    <row r="282" spans="1:5" x14ac:dyDescent="0.35">
      <c r="A282" t="s">
        <v>11</v>
      </c>
      <c r="B282" t="s">
        <v>1653</v>
      </c>
      <c r="C282" t="str">
        <f t="shared" si="4"/>
        <v xml:space="preserve">Analyst InquiryWhich technologies are enabling digital transformation and delivering tangible value. </v>
      </c>
      <c r="D282" t="s">
        <v>1654</v>
      </c>
      <c r="E282" t="s">
        <v>1655</v>
      </c>
    </row>
    <row r="283" spans="1:5" x14ac:dyDescent="0.35">
      <c r="A283" t="s">
        <v>11</v>
      </c>
      <c r="B283" t="s">
        <v>1659</v>
      </c>
      <c r="C283" t="str">
        <f t="shared" si="4"/>
        <v>Analyst InquiryOpportunities for AI to create value for healthcare providers.</v>
      </c>
      <c r="D283" t="s">
        <v>1660</v>
      </c>
      <c r="E283" t="s">
        <v>1661</v>
      </c>
    </row>
    <row r="284" spans="1:5" x14ac:dyDescent="0.35">
      <c r="A284" t="s">
        <v>11</v>
      </c>
      <c r="B284" t="s">
        <v>1665</v>
      </c>
      <c r="C284" t="str">
        <f t="shared" si="4"/>
        <v>Analyst InquiryEstablish metrics for healthcare provider transformation.</v>
      </c>
      <c r="D284" t="s">
        <v>1666</v>
      </c>
      <c r="E284" t="s">
        <v>1667</v>
      </c>
    </row>
    <row r="285" spans="1:5" x14ac:dyDescent="0.35">
      <c r="A285" t="s">
        <v>11</v>
      </c>
      <c r="B285" t="s">
        <v>1683</v>
      </c>
      <c r="C285" t="str">
        <f t="shared" si="4"/>
        <v>Analyst InquiryInquire on how to craft control documents to achieve implementation success for sensitive data classification and handling.</v>
      </c>
      <c r="D285" t="s">
        <v>1684</v>
      </c>
      <c r="E285" t="s">
        <v>1685</v>
      </c>
    </row>
    <row r="286" spans="1:5" x14ac:dyDescent="0.35">
      <c r="A286" t="s">
        <v>11</v>
      </c>
      <c r="B286" t="s">
        <v>1693</v>
      </c>
      <c r="C286" t="str">
        <f t="shared" si="4"/>
        <v xml:space="preserve">Analyst InquiryBest practices for ransomware protection. </v>
      </c>
      <c r="D286" t="s">
        <v>1694</v>
      </c>
      <c r="E286" t="s">
        <v>1695</v>
      </c>
    </row>
    <row r="287" spans="1:5" x14ac:dyDescent="0.35">
      <c r="A287" t="s">
        <v>11</v>
      </c>
      <c r="B287" t="s">
        <v>1714</v>
      </c>
      <c r="C287" t="str">
        <f t="shared" si="4"/>
        <v>Analyst InquiryOn leveraging SD-WAN to improve availability and save costs without affecting performance.</v>
      </c>
      <c r="D287" t="s">
        <v>1715</v>
      </c>
      <c r="E287" t="s">
        <v>1716</v>
      </c>
    </row>
    <row r="288" spans="1:5" x14ac:dyDescent="0.35">
      <c r="A288" t="s">
        <v>11</v>
      </c>
      <c r="B288" t="s">
        <v>1719</v>
      </c>
      <c r="C288" t="str">
        <f t="shared" si="4"/>
        <v>Analyst InquiryInquiry on how to use Cloud Managed Networks to achieve greater agility.</v>
      </c>
      <c r="D288" t="s">
        <v>1720</v>
      </c>
      <c r="E288" t="s">
        <v>1721</v>
      </c>
    </row>
    <row r="289" spans="1:5" x14ac:dyDescent="0.35">
      <c r="A289" t="s">
        <v>11</v>
      </c>
      <c r="B289" t="s">
        <v>1728</v>
      </c>
      <c r="C289" t="str">
        <f t="shared" si="4"/>
        <v>Analyst InquiryInquiry on the feasibility of SD-WAN networks.</v>
      </c>
      <c r="D289" t="s">
        <v>1729</v>
      </c>
      <c r="E289" t="s">
        <v>1730</v>
      </c>
    </row>
    <row r="290" spans="1:5" x14ac:dyDescent="0.35">
      <c r="A290" t="s">
        <v>11</v>
      </c>
      <c r="B290" t="s">
        <v>1737</v>
      </c>
      <c r="C290" t="str">
        <f t="shared" si="4"/>
        <v xml:space="preserve">Analyst InquiryInquiry to choose the correct NPMD tool. </v>
      </c>
      <c r="D290" t="s">
        <v>1738</v>
      </c>
      <c r="E290" t="s">
        <v>1739</v>
      </c>
    </row>
    <row r="291" spans="1:5" x14ac:dyDescent="0.35">
      <c r="A291" t="s">
        <v>11</v>
      </c>
      <c r="B291" t="s">
        <v>1740</v>
      </c>
      <c r="C291" t="str">
        <f t="shared" si="4"/>
        <v>Analyst InquiryInquiry on how to train and build a NetOps 2.0 team for the future which includes network automation and network analytics.</v>
      </c>
      <c r="D291" t="s">
        <v>1741</v>
      </c>
      <c r="E291" t="s">
        <v>1742</v>
      </c>
    </row>
    <row r="292" spans="1:5" x14ac:dyDescent="0.35">
      <c r="A292" t="s">
        <v>11</v>
      </c>
      <c r="B292" t="s">
        <v>1749</v>
      </c>
      <c r="C292" t="str">
        <f t="shared" si="4"/>
        <v>Analyst InquiryInquiry on the future of network and network services. including 'Intent based Networks'</v>
      </c>
      <c r="D292" t="s">
        <v>1750</v>
      </c>
      <c r="E292" t="s">
        <v>1751</v>
      </c>
    </row>
    <row r="293" spans="1:5" x14ac:dyDescent="0.35">
      <c r="A293" t="s">
        <v>11</v>
      </c>
      <c r="B293" t="s">
        <v>1756</v>
      </c>
      <c r="C293" t="str">
        <f t="shared" si="4"/>
        <v>Analyst InquiryOn creating integrated, combinatorial strategies for disrupting competition and driving scale.</v>
      </c>
      <c r="D293" t="s">
        <v>1757</v>
      </c>
      <c r="E293" t="s">
        <v>1758</v>
      </c>
    </row>
    <row r="294" spans="1:5" x14ac:dyDescent="0.35">
      <c r="A294" t="s">
        <v>11</v>
      </c>
      <c r="B294" t="s">
        <v>1759</v>
      </c>
      <c r="C294" t="str">
        <f t="shared" si="4"/>
        <v>Analyst InquiryOn early indicators to identify potential disruptors.</v>
      </c>
      <c r="D294" t="s">
        <v>1760</v>
      </c>
      <c r="E294" t="s">
        <v>1761</v>
      </c>
    </row>
    <row r="295" spans="1:5" x14ac:dyDescent="0.35">
      <c r="A295" t="s">
        <v>11</v>
      </c>
      <c r="B295" t="s">
        <v>1765</v>
      </c>
      <c r="C295" t="str">
        <f t="shared" si="4"/>
        <v>Analyst InquiryDisruptor deep dive - Artificial Intelligence.</v>
      </c>
      <c r="D295" t="s">
        <v>378</v>
      </c>
      <c r="E295" t="s">
        <v>379</v>
      </c>
    </row>
    <row r="296" spans="1:5" x14ac:dyDescent="0.35">
      <c r="A296" t="s">
        <v>11</v>
      </c>
      <c r="B296" t="s">
        <v>1766</v>
      </c>
      <c r="C296" t="str">
        <f t="shared" si="4"/>
        <v>Analyst InquiryReview cases studies, trends and insights to exploit innovation and willful disruption.</v>
      </c>
      <c r="D296" t="s">
        <v>1767</v>
      </c>
      <c r="E296" t="s">
        <v>1768</v>
      </c>
    </row>
    <row r="297" spans="1:5" x14ac:dyDescent="0.35">
      <c r="A297" t="s">
        <v>11</v>
      </c>
      <c r="B297" t="s">
        <v>1781</v>
      </c>
      <c r="C297" t="str">
        <f t="shared" si="4"/>
        <v>Analyst InquiryDisruptor deep dive - Internet of Things, Blockchain</v>
      </c>
      <c r="D297" t="s">
        <v>1782</v>
      </c>
      <c r="E297" t="s">
        <v>1783</v>
      </c>
    </row>
    <row r="298" spans="1:5" x14ac:dyDescent="0.35">
      <c r="A298" t="s">
        <v>11</v>
      </c>
      <c r="B298" t="s">
        <v>1787</v>
      </c>
      <c r="C298" t="str">
        <f t="shared" si="4"/>
        <v>Analyst InquiryOn educating your business leadership peers to understand the potential for disruption.</v>
      </c>
      <c r="D298" t="s">
        <v>1788</v>
      </c>
      <c r="E298" t="s">
        <v>1789</v>
      </c>
    </row>
    <row r="299" spans="1:5" x14ac:dyDescent="0.35">
      <c r="A299" t="s">
        <v>11</v>
      </c>
      <c r="B299" t="s">
        <v>1793</v>
      </c>
      <c r="C299" t="str">
        <f t="shared" si="4"/>
        <v>Analyst InquiryDisruptor deep dive - Blockchain.</v>
      </c>
      <c r="D299" t="s">
        <v>1782</v>
      </c>
      <c r="E299" t="s">
        <v>1783</v>
      </c>
    </row>
    <row r="300" spans="1:5" x14ac:dyDescent="0.35">
      <c r="A300" t="s">
        <v>11</v>
      </c>
      <c r="B300" t="s">
        <v>1794</v>
      </c>
      <c r="C300" t="str">
        <f t="shared" si="4"/>
        <v>Analyst InquiryLeverage framework to recognize innovation contributions.</v>
      </c>
      <c r="D300" t="s">
        <v>1795</v>
      </c>
      <c r="E300" t="s">
        <v>1796</v>
      </c>
    </row>
    <row r="301" spans="1:5" x14ac:dyDescent="0.35">
      <c r="A301" t="s">
        <v>11</v>
      </c>
      <c r="B301" t="s">
        <v>1800</v>
      </c>
      <c r="C301" t="str">
        <f t="shared" si="4"/>
        <v>Analyst InquiryConsult with an EP. Outline your threat detection and mitigation policies. Leverage Gartner toolkit.</v>
      </c>
      <c r="D301" t="s">
        <v>1691</v>
      </c>
      <c r="E301" t="s">
        <v>1692</v>
      </c>
    </row>
    <row r="302" spans="1:5" x14ac:dyDescent="0.35">
      <c r="A302" t="s">
        <v>11</v>
      </c>
      <c r="B302" t="s">
        <v>1801</v>
      </c>
      <c r="C302" t="str">
        <f t="shared" si="4"/>
        <v>Analyst InquiryWork with an analyst to assess your exposure to critical risks.</v>
      </c>
      <c r="D302" t="s">
        <v>990</v>
      </c>
      <c r="E302" t="s">
        <v>1802</v>
      </c>
    </row>
    <row r="303" spans="1:5" x14ac:dyDescent="0.35">
      <c r="A303" t="s">
        <v>11</v>
      </c>
      <c r="B303" t="s">
        <v>1806</v>
      </c>
      <c r="C303" t="str">
        <f t="shared" si="4"/>
        <v>Analyst InquiryAnalyst discussion on budgeting, financial analytics and investments relating to your data security initiatives</v>
      </c>
      <c r="D303" t="s">
        <v>1029</v>
      </c>
      <c r="E303" t="s">
        <v>1678</v>
      </c>
    </row>
    <row r="304" spans="1:5" x14ac:dyDescent="0.35">
      <c r="A304" t="s">
        <v>11</v>
      </c>
      <c r="B304" t="s">
        <v>1811</v>
      </c>
      <c r="C304" t="str">
        <f t="shared" si="4"/>
        <v>Analyst InquiryDiscuss with an analyst on sensitive data classification and handling policies.</v>
      </c>
      <c r="D304" t="s">
        <v>1681</v>
      </c>
      <c r="E304" t="s">
        <v>1682</v>
      </c>
    </row>
    <row r="305" spans="1:5" x14ac:dyDescent="0.35">
      <c r="A305" t="s">
        <v>11</v>
      </c>
      <c r="B305" t="s">
        <v>1818</v>
      </c>
      <c r="C305" t="str">
        <f t="shared" si="4"/>
        <v>Analyst InquiryAnalyst discussion on utilizing Gartner's bimodal model for digitalizing your business</v>
      </c>
      <c r="D305" t="s">
        <v>1819</v>
      </c>
      <c r="E305" t="s">
        <v>1820</v>
      </c>
    </row>
    <row r="306" spans="1:5" x14ac:dyDescent="0.35">
      <c r="A306" t="s">
        <v>11</v>
      </c>
      <c r="B306" t="s">
        <v>1821</v>
      </c>
      <c r="C306" t="str">
        <f t="shared" si="4"/>
        <v>Analyst InquiryEvaluate using Cloud and APIs for your modernization exercise.</v>
      </c>
      <c r="D306" t="s">
        <v>1822</v>
      </c>
      <c r="E306" t="s">
        <v>1823</v>
      </c>
    </row>
    <row r="307" spans="1:5" x14ac:dyDescent="0.35">
      <c r="A307" t="s">
        <v>11</v>
      </c>
      <c r="B307" t="s">
        <v>1827</v>
      </c>
      <c r="C307" t="str">
        <f t="shared" si="4"/>
        <v>Analyst InquiryUtilize Gartner's framework to approach a digitalization challenge the correct way.</v>
      </c>
      <c r="D307" t="s">
        <v>1828</v>
      </c>
      <c r="E307" t="s">
        <v>1829</v>
      </c>
    </row>
    <row r="308" spans="1:5" x14ac:dyDescent="0.35">
      <c r="A308" t="s">
        <v>11</v>
      </c>
      <c r="B308" t="s">
        <v>1834</v>
      </c>
      <c r="C308" t="str">
        <f t="shared" si="4"/>
        <v>Analyst InquiryInquire on future technology trends in government applications and systems, and how to implement them without impacting mission critical systems.</v>
      </c>
    </row>
    <row r="309" spans="1:5" x14ac:dyDescent="0.35">
      <c r="A309" t="s">
        <v>11</v>
      </c>
      <c r="B309" t="s">
        <v>1842</v>
      </c>
      <c r="C309" t="str">
        <f t="shared" si="4"/>
        <v>Analyst InquiryReview CIO compensation benchmark data to ensure understanding of market and candidate demands.</v>
      </c>
    </row>
    <row r="310" spans="1:5" x14ac:dyDescent="0.35">
      <c r="A310" t="s">
        <v>11</v>
      </c>
      <c r="B310" t="s">
        <v>1847</v>
      </c>
      <c r="C310" t="str">
        <f t="shared" si="4"/>
        <v>Analyst InquiryOngoing analyst support for IT Strategy development and execution.</v>
      </c>
      <c r="D310" t="s">
        <v>1848</v>
      </c>
      <c r="E310" t="s">
        <v>1849</v>
      </c>
    </row>
    <row r="311" spans="1:5" x14ac:dyDescent="0.35">
      <c r="A311" t="s">
        <v>11</v>
      </c>
      <c r="B311" t="s">
        <v>1850</v>
      </c>
      <c r="C311" t="str">
        <f t="shared" si="4"/>
        <v>Analyst InquiryOngoing analyst support for run the business IT priorities.</v>
      </c>
    </row>
    <row r="312" spans="1:5" x14ac:dyDescent="0.35">
      <c r="A312" t="s">
        <v>11</v>
      </c>
      <c r="B312" t="s">
        <v>1851</v>
      </c>
      <c r="C312" t="str">
        <f t="shared" si="4"/>
        <v>Analyst InquiryBest practices for supporting the new CIO's transition into the organization.</v>
      </c>
      <c r="D312" t="s">
        <v>1852</v>
      </c>
      <c r="E312" t="s">
        <v>1853</v>
      </c>
    </row>
    <row r="313" spans="1:5" x14ac:dyDescent="0.35">
      <c r="A313" t="s">
        <v>11</v>
      </c>
      <c r="B313" t="s">
        <v>1868</v>
      </c>
      <c r="C313" t="str">
        <f t="shared" si="4"/>
        <v>Analyst InquiryReview ITScore results. Discuss best practices for evolving the service portfolio.</v>
      </c>
      <c r="D313" t="s">
        <v>1863</v>
      </c>
      <c r="E313" t="s">
        <v>1864</v>
      </c>
    </row>
    <row r="314" spans="1:5" x14ac:dyDescent="0.35">
      <c r="A314" t="s">
        <v>11</v>
      </c>
      <c r="B314" t="s">
        <v>1869</v>
      </c>
      <c r="C314" t="str">
        <f t="shared" si="4"/>
        <v>Analyst InquiryCreate a service improvement plan to enhance business relevance and improve service to the next maturity level.</v>
      </c>
    </row>
    <row r="315" spans="1:5" x14ac:dyDescent="0.35">
      <c r="A315" t="s">
        <v>11</v>
      </c>
      <c r="B315" t="s">
        <v>1871</v>
      </c>
      <c r="C315" t="str">
        <f t="shared" si="4"/>
        <v>Analyst InquiryInsight on high priorities e.g. Formalize SLAs, re-engineer processes, adjust sourcing.</v>
      </c>
    </row>
    <row r="316" spans="1:5" x14ac:dyDescent="0.35">
      <c r="A316" t="s">
        <v>11</v>
      </c>
      <c r="B316" t="s">
        <v>1882</v>
      </c>
      <c r="C316" t="str">
        <f t="shared" si="4"/>
        <v>Analyst InquiryReview the seven areas of ITSM that must be improved to migrate to the desired state.</v>
      </c>
      <c r="D316" t="s">
        <v>1883</v>
      </c>
      <c r="E316" t="s">
        <v>1884</v>
      </c>
    </row>
    <row r="317" spans="1:5" x14ac:dyDescent="0.35">
      <c r="A317" t="s">
        <v>11</v>
      </c>
      <c r="B317" t="s">
        <v>1889</v>
      </c>
      <c r="C317" t="str">
        <f t="shared" si="4"/>
        <v>Analyst InquiryInquiry to match the corresponding maturity level and delivery focus.</v>
      </c>
      <c r="D317" t="s">
        <v>1890</v>
      </c>
      <c r="E317" t="s">
        <v>1891</v>
      </c>
    </row>
    <row r="318" spans="1:5" x14ac:dyDescent="0.35">
      <c r="A318" t="s">
        <v>11</v>
      </c>
      <c r="B318" t="s">
        <v>1896</v>
      </c>
      <c r="C318" t="str">
        <f t="shared" si="4"/>
        <v>Analyst InquiryBest practices in transitioning to agile: getting started &amp; planning the pilot project.</v>
      </c>
      <c r="D318" t="s">
        <v>1897</v>
      </c>
      <c r="E318" t="s">
        <v>1898</v>
      </c>
    </row>
    <row r="319" spans="1:5" x14ac:dyDescent="0.35">
      <c r="A319" t="s">
        <v>11</v>
      </c>
      <c r="B319" t="s">
        <v>1905</v>
      </c>
      <c r="C319" t="str">
        <f t="shared" si="4"/>
        <v>Analyst InquiryEvolve the application organization structure to support agile transformation.</v>
      </c>
      <c r="D319" t="s">
        <v>1906</v>
      </c>
      <c r="E319" t="s">
        <v>1907</v>
      </c>
    </row>
    <row r="320" spans="1:5" x14ac:dyDescent="0.35">
      <c r="A320" t="s">
        <v>11</v>
      </c>
      <c r="B320" t="s">
        <v>1909</v>
      </c>
      <c r="C320" t="str">
        <f t="shared" si="4"/>
        <v>Analyst InquiryImplications of agile on traditional budgeting and governance processes</v>
      </c>
      <c r="D320" t="s">
        <v>1910</v>
      </c>
      <c r="E320" t="s">
        <v>1911</v>
      </c>
    </row>
    <row r="321" spans="1:5" x14ac:dyDescent="0.35">
      <c r="A321" t="s">
        <v>11</v>
      </c>
      <c r="B321" t="s">
        <v>1915</v>
      </c>
      <c r="C321" t="str">
        <f t="shared" si="4"/>
        <v>Analyst InquiryAgile metrics</v>
      </c>
      <c r="D321" t="s">
        <v>1916</v>
      </c>
      <c r="E321" t="s">
        <v>1917</v>
      </c>
    </row>
    <row r="322" spans="1:5" x14ac:dyDescent="0.35">
      <c r="A322" t="s">
        <v>11</v>
      </c>
      <c r="B322" t="s">
        <v>1919</v>
      </c>
      <c r="C322" t="str">
        <f t="shared" si="4"/>
        <v>Analyst InquiryGlobal trends driving the Higher Education industry.</v>
      </c>
      <c r="D322" t="s">
        <v>1920</v>
      </c>
      <c r="E322" t="s">
        <v>1921</v>
      </c>
    </row>
    <row r="323" spans="1:5" x14ac:dyDescent="0.35">
      <c r="A323" t="s">
        <v>11</v>
      </c>
      <c r="B323" t="s">
        <v>1929</v>
      </c>
      <c r="C323" t="str">
        <f t="shared" ref="C323:C386" si="5">CONCATENATE(A323,B323)</f>
        <v>Analyst InquiryDiscuss the current state of analytics and identify immediate priorities based on current strategy.</v>
      </c>
      <c r="D323" t="s">
        <v>1930</v>
      </c>
      <c r="E323" t="s">
        <v>1931</v>
      </c>
    </row>
    <row r="324" spans="1:5" x14ac:dyDescent="0.35">
      <c r="A324" t="s">
        <v>11</v>
      </c>
      <c r="B324" t="s">
        <v>1935</v>
      </c>
      <c r="C324" t="str">
        <f t="shared" si="5"/>
        <v>Analyst InquiryDigital Business Fundamentals: Adopting bimodal across the enterprise.</v>
      </c>
      <c r="D324" t="s">
        <v>1347</v>
      </c>
      <c r="E324" t="s">
        <v>1348</v>
      </c>
    </row>
    <row r="325" spans="1:5" x14ac:dyDescent="0.35">
      <c r="A325" t="s">
        <v>11</v>
      </c>
      <c r="B325" t="s">
        <v>1936</v>
      </c>
      <c r="C325" t="str">
        <f t="shared" si="5"/>
        <v>Analyst InquiryDigital Business Fundamentals:</v>
      </c>
      <c r="D325" t="s">
        <v>1937</v>
      </c>
      <c r="E325" t="s">
        <v>1938</v>
      </c>
    </row>
    <row r="326" spans="1:5" x14ac:dyDescent="0.35">
      <c r="A326" t="s">
        <v>11</v>
      </c>
      <c r="B326" t="s">
        <v>1940</v>
      </c>
      <c r="C326" t="str">
        <f t="shared" si="5"/>
        <v>Analyst InquiryArtificial Intelligence use cases for higher education.</v>
      </c>
      <c r="D326" t="s">
        <v>1941</v>
      </c>
      <c r="E326" t="s">
        <v>1942</v>
      </c>
    </row>
    <row r="327" spans="1:5" x14ac:dyDescent="0.35">
      <c r="A327" t="s">
        <v>11</v>
      </c>
      <c r="B327" t="s">
        <v>1964</v>
      </c>
      <c r="C327" t="str">
        <f t="shared" si="5"/>
        <v>Analyst InquiryDiscuss the vendors that are enhancing the in-store experience with digital capabilities.</v>
      </c>
      <c r="D327" t="s">
        <v>1965</v>
      </c>
      <c r="E327" t="s">
        <v>1966</v>
      </c>
    </row>
    <row r="328" spans="1:5" x14ac:dyDescent="0.35">
      <c r="A328" t="s">
        <v>11</v>
      </c>
      <c r="B328" t="s">
        <v>1967</v>
      </c>
      <c r="C328" t="str">
        <f t="shared" si="5"/>
        <v xml:space="preserve">Analyst InquiryDiscuss digital-business-ready POS solutions and key capabilities. </v>
      </c>
      <c r="D328" t="s">
        <v>1968</v>
      </c>
      <c r="E328" t="s">
        <v>1969</v>
      </c>
    </row>
    <row r="329" spans="1:5" x14ac:dyDescent="0.35">
      <c r="A329" t="s">
        <v>11</v>
      </c>
      <c r="B329" t="s">
        <v>1970</v>
      </c>
      <c r="C329" t="str">
        <f t="shared" si="5"/>
        <v>Analyst InquiryDiscuss conversational commerce technologies</v>
      </c>
      <c r="D329" t="s">
        <v>1971</v>
      </c>
      <c r="E329" t="s">
        <v>1972</v>
      </c>
    </row>
    <row r="330" spans="1:5" x14ac:dyDescent="0.35">
      <c r="A330" t="s">
        <v>11</v>
      </c>
      <c r="B330" t="s">
        <v>1975</v>
      </c>
      <c r="C330" t="str">
        <f t="shared" si="5"/>
        <v xml:space="preserve">Analyst InquiryLeverage before deployment and discuss key issues: </v>
      </c>
      <c r="D330" t="s">
        <v>1976</v>
      </c>
      <c r="E330" t="s">
        <v>1977</v>
      </c>
    </row>
    <row r="331" spans="1:5" x14ac:dyDescent="0.35">
      <c r="A331" t="s">
        <v>11</v>
      </c>
      <c r="B331" t="s">
        <v>1978</v>
      </c>
      <c r="C331" t="str">
        <f t="shared" si="5"/>
        <v>Analyst InquiryContinue to evolve and implement unified commerce strategies to deliver consumer service and fulfillment excellence.</v>
      </c>
      <c r="D331" t="s">
        <v>1979</v>
      </c>
      <c r="E331" t="s">
        <v>1980</v>
      </c>
    </row>
    <row r="332" spans="1:5" x14ac:dyDescent="0.35">
      <c r="A332" t="s">
        <v>11</v>
      </c>
      <c r="B332" t="s">
        <v>1989</v>
      </c>
      <c r="C332" t="str">
        <f t="shared" si="5"/>
        <v>Analyst InquiryAnalyst review of stakeholder power map. Generate ideas for addressing challenges.</v>
      </c>
    </row>
    <row r="333" spans="1:5" x14ac:dyDescent="0.35">
      <c r="A333" t="s">
        <v>11</v>
      </c>
      <c r="B333" t="s">
        <v>1995</v>
      </c>
      <c r="C333" t="str">
        <f t="shared" si="5"/>
        <v>Analyst InquiryDevelop an intentional brand for stakeholders to be aware of higher-value services that your organization can deliver.</v>
      </c>
      <c r="D333" t="s">
        <v>1996</v>
      </c>
      <c r="E333" t="s">
        <v>1997</v>
      </c>
    </row>
    <row r="334" spans="1:5" x14ac:dyDescent="0.35">
      <c r="A334" t="s">
        <v>11</v>
      </c>
      <c r="B334" t="s">
        <v>2002</v>
      </c>
      <c r="C334" t="str">
        <f t="shared" si="5"/>
        <v>Analyst InquiryTips for creating a compelling vision.</v>
      </c>
      <c r="D334" t="s">
        <v>2003</v>
      </c>
      <c r="E334" t="s">
        <v>2004</v>
      </c>
    </row>
    <row r="335" spans="1:5" x14ac:dyDescent="0.35">
      <c r="A335" t="s">
        <v>11</v>
      </c>
      <c r="B335" t="s">
        <v>2010</v>
      </c>
      <c r="C335" t="str">
        <f t="shared" si="5"/>
        <v>Analyst InquiryGlobal trends driving the K-12 Education industry</v>
      </c>
      <c r="D335" t="s">
        <v>2011</v>
      </c>
      <c r="E335" t="s">
        <v>2012</v>
      </c>
    </row>
    <row r="336" spans="1:5" x14ac:dyDescent="0.35">
      <c r="A336" t="s">
        <v>11</v>
      </c>
      <c r="B336" t="s">
        <v>2018</v>
      </c>
      <c r="C336" t="str">
        <f t="shared" si="5"/>
        <v>Analyst InquiryDiscuss the current state of digital assessment and identify strategies for incorporating it.</v>
      </c>
      <c r="D336" t="s">
        <v>2019</v>
      </c>
      <c r="E336" t="s">
        <v>2020</v>
      </c>
    </row>
    <row r="337" spans="1:5" x14ac:dyDescent="0.35">
      <c r="A337" t="s">
        <v>11</v>
      </c>
      <c r="B337" t="s">
        <v>2021</v>
      </c>
      <c r="C337" t="str">
        <f t="shared" si="5"/>
        <v xml:space="preserve">Analyst InquiryDigital Business Fundamentals: Adopting bimodal across the enterprise. </v>
      </c>
      <c r="D337" t="s">
        <v>1347</v>
      </c>
      <c r="E337" t="s">
        <v>1348</v>
      </c>
    </row>
    <row r="338" spans="1:5" x14ac:dyDescent="0.35">
      <c r="A338" t="s">
        <v>11</v>
      </c>
      <c r="B338" t="s">
        <v>2022</v>
      </c>
      <c r="C338" t="str">
        <f t="shared" si="5"/>
        <v xml:space="preserve">Analyst InquiryDigital Business Fundamentals: </v>
      </c>
      <c r="D338" t="s">
        <v>1937</v>
      </c>
      <c r="E338" t="s">
        <v>1938</v>
      </c>
    </row>
    <row r="339" spans="1:5" x14ac:dyDescent="0.35">
      <c r="A339" t="s">
        <v>11</v>
      </c>
      <c r="B339" t="s">
        <v>2023</v>
      </c>
      <c r="C339" t="str">
        <f t="shared" si="5"/>
        <v>Analyst InquiryAssess the stakeholders readiness to change and plan for skill development.</v>
      </c>
      <c r="D339" t="s">
        <v>2024</v>
      </c>
      <c r="E339" t="s">
        <v>2025</v>
      </c>
    </row>
    <row r="340" spans="1:5" x14ac:dyDescent="0.35">
      <c r="A340" t="s">
        <v>11</v>
      </c>
      <c r="B340" t="s">
        <v>2029</v>
      </c>
      <c r="C340" t="str">
        <f t="shared" si="5"/>
        <v>Analyst InquiryDiscuss Gartner's ITScore and best practices for performing an It Maturity assessment.</v>
      </c>
      <c r="D340" t="s">
        <v>2030</v>
      </c>
      <c r="E340" t="s">
        <v>873</v>
      </c>
    </row>
    <row r="341" spans="1:5" x14ac:dyDescent="0.35">
      <c r="A341" t="s">
        <v>11</v>
      </c>
      <c r="B341" t="s">
        <v>2034</v>
      </c>
      <c r="C341" t="str">
        <f t="shared" si="5"/>
        <v>Analyst InquiryReview first 30 days with a CIO analyst. Discuss initial observations and set goals for the next 60 days.</v>
      </c>
    </row>
    <row r="342" spans="1:5" x14ac:dyDescent="0.35">
      <c r="A342" t="s">
        <v>11</v>
      </c>
      <c r="B342" t="s">
        <v>2037</v>
      </c>
      <c r="C342" t="str">
        <f t="shared" si="5"/>
        <v>Analyst InquiryDiscuss current governance model and how to evolve towards a more adaptive IT governance model suitable for supporting the new strategy.</v>
      </c>
      <c r="D342" t="s">
        <v>2038</v>
      </c>
      <c r="E342" t="s">
        <v>1082</v>
      </c>
    </row>
    <row r="343" spans="1:5" x14ac:dyDescent="0.35">
      <c r="A343" t="s">
        <v>11</v>
      </c>
      <c r="B343" t="s">
        <v>2045</v>
      </c>
      <c r="C343" t="str">
        <f t="shared" si="5"/>
        <v>Analyst InquiryStrategy review checkpoint.</v>
      </c>
    </row>
    <row r="344" spans="1:5" x14ac:dyDescent="0.35">
      <c r="A344" t="s">
        <v>11</v>
      </c>
      <c r="B344" t="s">
        <v>2046</v>
      </c>
      <c r="C344" t="str">
        <f t="shared" si="5"/>
        <v>Analyst Inquiry90 day review. Prepare for board level communications.</v>
      </c>
    </row>
    <row r="345" spans="1:5" x14ac:dyDescent="0.35">
      <c r="A345" t="s">
        <v>11</v>
      </c>
      <c r="B345" t="s">
        <v>2054</v>
      </c>
      <c r="C345" t="str">
        <f t="shared" si="5"/>
        <v xml:space="preserve">Analyst InquiryLaying the foundations for a maturing sourcing and procurement disciplines. </v>
      </c>
      <c r="D345" t="s">
        <v>2055</v>
      </c>
      <c r="E345" t="s">
        <v>2056</v>
      </c>
    </row>
    <row r="346" spans="1:5" x14ac:dyDescent="0.35">
      <c r="A346" t="s">
        <v>11</v>
      </c>
      <c r="B346" t="s">
        <v>2063</v>
      </c>
      <c r="C346" t="str">
        <f t="shared" si="5"/>
        <v>Analyst InquirySkills development: How to develop business-focused skills and promote stakeholder participation.</v>
      </c>
      <c r="D346" t="s">
        <v>2064</v>
      </c>
      <c r="E346" t="s">
        <v>2065</v>
      </c>
    </row>
    <row r="347" spans="1:5" x14ac:dyDescent="0.35">
      <c r="A347" t="s">
        <v>11</v>
      </c>
      <c r="B347" t="s">
        <v>2066</v>
      </c>
      <c r="C347" t="str">
        <f t="shared" si="5"/>
        <v>Analyst InquirySourcing and procurement in the context of bimodal.</v>
      </c>
      <c r="D347" t="s">
        <v>1313</v>
      </c>
      <c r="E347" t="s">
        <v>1314</v>
      </c>
    </row>
    <row r="348" spans="1:5" x14ac:dyDescent="0.35">
      <c r="A348" t="s">
        <v>11</v>
      </c>
      <c r="B348" t="s">
        <v>2078</v>
      </c>
      <c r="C348" t="str">
        <f t="shared" si="5"/>
        <v>Analyst InquiryLaying the foundations for a mature IT Asset management discipline.</v>
      </c>
      <c r="D348" t="s">
        <v>2079</v>
      </c>
      <c r="E348" t="s">
        <v>2080</v>
      </c>
    </row>
    <row r="349" spans="1:5" x14ac:dyDescent="0.35">
      <c r="A349" t="s">
        <v>11</v>
      </c>
      <c r="B349" t="s">
        <v>2084</v>
      </c>
      <c r="C349" t="str">
        <f t="shared" si="5"/>
        <v>Analyst InquiryReview Gartner template - discuss best practices to establish/improve ITAM strategy.</v>
      </c>
      <c r="D349" t="s">
        <v>2085</v>
      </c>
      <c r="E349" t="s">
        <v>2086</v>
      </c>
    </row>
    <row r="350" spans="1:5" x14ac:dyDescent="0.35">
      <c r="A350" t="s">
        <v>11</v>
      </c>
      <c r="B350" t="s">
        <v>2090</v>
      </c>
      <c r="C350" t="str">
        <f t="shared" si="5"/>
        <v>Analyst InquiryAssess SAM vendors against required capabilities.</v>
      </c>
      <c r="D350" t="s">
        <v>2091</v>
      </c>
      <c r="E350" t="s">
        <v>2092</v>
      </c>
    </row>
    <row r="351" spans="1:5" x14ac:dyDescent="0.35">
      <c r="A351" t="s">
        <v>11</v>
      </c>
      <c r="B351" t="s">
        <v>2096</v>
      </c>
      <c r="C351" t="str">
        <f t="shared" si="5"/>
        <v>Analyst InquiryBest practices for successful SAM tool implementation</v>
      </c>
      <c r="D351" t="s">
        <v>2097</v>
      </c>
      <c r="E351" t="s">
        <v>2089</v>
      </c>
    </row>
    <row r="352" spans="1:5" x14ac:dyDescent="0.35">
      <c r="A352" t="s">
        <v>11</v>
      </c>
      <c r="B352" t="s">
        <v>2104</v>
      </c>
      <c r="C352" t="str">
        <f t="shared" si="5"/>
        <v>Analyst InquiryReview of current technology asset life cycle to maximize the value of asset spending for business stakeholders.</v>
      </c>
      <c r="D352" t="s">
        <v>2105</v>
      </c>
      <c r="E352" t="s">
        <v>2106</v>
      </c>
    </row>
    <row r="353" spans="1:5" x14ac:dyDescent="0.35">
      <c r="A353" t="s">
        <v>11</v>
      </c>
      <c r="B353" t="s">
        <v>2113</v>
      </c>
      <c r="C353" t="str">
        <f t="shared" si="5"/>
        <v>Analyst InquiryConduct a self assessment of the I&amp;O environment's maturity in the organization.</v>
      </c>
      <c r="D353" t="s">
        <v>2114</v>
      </c>
      <c r="E353" t="s">
        <v>2115</v>
      </c>
    </row>
    <row r="354" spans="1:5" x14ac:dyDescent="0.35">
      <c r="A354" t="s">
        <v>11</v>
      </c>
      <c r="B354" t="s">
        <v>2123</v>
      </c>
      <c r="C354" t="str">
        <f t="shared" si="5"/>
        <v>Analyst InquiryDiscuss the top I&amp;O trends relevant for the organization.</v>
      </c>
      <c r="D354" t="s">
        <v>2124</v>
      </c>
      <c r="E354" t="s">
        <v>2125</v>
      </c>
    </row>
    <row r="355" spans="1:5" x14ac:dyDescent="0.35">
      <c r="A355" t="s">
        <v>11</v>
      </c>
      <c r="B355" t="s">
        <v>2134</v>
      </c>
      <c r="C355" t="str">
        <f t="shared" si="5"/>
        <v>Analyst InquiryAddress technical skills gap to build digital dexterity.</v>
      </c>
      <c r="D355" t="s">
        <v>2135</v>
      </c>
      <c r="E355" t="s">
        <v>2136</v>
      </c>
    </row>
    <row r="356" spans="1:5" x14ac:dyDescent="0.35">
      <c r="A356" t="s">
        <v>11</v>
      </c>
      <c r="B356" t="s">
        <v>2140</v>
      </c>
      <c r="C356" t="str">
        <f t="shared" si="5"/>
        <v>Analyst InquiryCommunicate the I&amp;O business value using I&amp;0 business value map</v>
      </c>
      <c r="D356" t="s">
        <v>2141</v>
      </c>
      <c r="E356" t="s">
        <v>2142</v>
      </c>
    </row>
    <row r="357" spans="1:5" x14ac:dyDescent="0.35">
      <c r="A357" t="s">
        <v>11</v>
      </c>
      <c r="B357" t="s">
        <v>2151</v>
      </c>
      <c r="C357" t="str">
        <f t="shared" si="5"/>
        <v xml:space="preserve">Analyst InquiryReview the results of fitness and value reviews and discuss best practices for prioritization. </v>
      </c>
      <c r="D357" t="s">
        <v>2152</v>
      </c>
      <c r="E357" t="s">
        <v>2153</v>
      </c>
    </row>
    <row r="358" spans="1:5" x14ac:dyDescent="0.35">
      <c r="A358" t="s">
        <v>11</v>
      </c>
      <c r="B358" t="s">
        <v>2159</v>
      </c>
      <c r="C358" t="str">
        <f t="shared" si="5"/>
        <v>Analyst InquiryHow to remove bias and ensure a fact-based process when scoring of applications for rationalization.</v>
      </c>
      <c r="D358" t="s">
        <v>2160</v>
      </c>
      <c r="E358" t="s">
        <v>2161</v>
      </c>
    </row>
    <row r="359" spans="1:5" x14ac:dyDescent="0.35">
      <c r="A359" t="s">
        <v>11</v>
      </c>
      <c r="B359" t="s">
        <v>2170</v>
      </c>
      <c r="C359" t="str">
        <f t="shared" si="5"/>
        <v xml:space="preserve">Analyst InquirySeries of calls to leverage Gartner analysts for support with vendor selection &amp; pricing review, for tools to enable ongoing portfolio optimization. </v>
      </c>
      <c r="D359" t="s">
        <v>2171</v>
      </c>
      <c r="E359" t="s">
        <v>2172</v>
      </c>
    </row>
    <row r="360" spans="1:5" x14ac:dyDescent="0.35">
      <c r="A360" t="s">
        <v>11</v>
      </c>
      <c r="B360" t="s">
        <v>2173</v>
      </c>
      <c r="C360" t="str">
        <f t="shared" si="5"/>
        <v>Analyst InquiryHow to measure the impact of application rationalization on the business.</v>
      </c>
    </row>
    <row r="361" spans="1:5" x14ac:dyDescent="0.35">
      <c r="A361" t="s">
        <v>11</v>
      </c>
      <c r="B361" t="s">
        <v>2176</v>
      </c>
      <c r="C361" t="str">
        <f t="shared" si="5"/>
        <v>Analyst InquiryIdentify a data management strategy most suited to organization needs &amp; goals.</v>
      </c>
      <c r="D361" t="s">
        <v>4</v>
      </c>
      <c r="E361" t="s">
        <v>2177</v>
      </c>
    </row>
    <row r="362" spans="1:5" x14ac:dyDescent="0.35">
      <c r="A362" t="s">
        <v>11</v>
      </c>
      <c r="B362" t="s">
        <v>2187</v>
      </c>
      <c r="C362" t="str">
        <f t="shared" si="5"/>
        <v xml:space="preserve">Analyst InquiryDiscuss best practices in data management to leverage modern-day analytics.
</v>
      </c>
      <c r="D362" t="s">
        <v>2188</v>
      </c>
      <c r="E362" t="s">
        <v>2189</v>
      </c>
    </row>
    <row r="363" spans="1:5" x14ac:dyDescent="0.35">
      <c r="A363" t="s">
        <v>11</v>
      </c>
      <c r="B363" t="s">
        <v>2200</v>
      </c>
      <c r="C363" t="str">
        <f t="shared" si="5"/>
        <v>Analyst InquiryReview data governance strategy to ensure adherence to best practices.</v>
      </c>
      <c r="D363" t="s">
        <v>1807</v>
      </c>
      <c r="E363" t="s">
        <v>2201</v>
      </c>
    </row>
    <row r="364" spans="1:5" x14ac:dyDescent="0.35">
      <c r="A364" t="s">
        <v>11</v>
      </c>
      <c r="B364" t="s">
        <v>2209</v>
      </c>
      <c r="C364" t="str">
        <f t="shared" si="5"/>
        <v xml:space="preserve">Analyst InquiryDiscuss data strategy that will support successful deployments of Artificial Intelligence. 
</v>
      </c>
      <c r="D364" t="s">
        <v>2210</v>
      </c>
      <c r="E364" t="s">
        <v>2211</v>
      </c>
    </row>
    <row r="365" spans="1:5" x14ac:dyDescent="0.35">
      <c r="A365" t="s">
        <v>11</v>
      </c>
      <c r="B365" t="s">
        <v>2212</v>
      </c>
      <c r="C365" t="str">
        <f t="shared" si="5"/>
        <v>Analyst InquiryInquiry on using AI in data management and how to monetize data.</v>
      </c>
      <c r="D365" t="s">
        <v>2213</v>
      </c>
      <c r="E365" t="s">
        <v>2214</v>
      </c>
    </row>
    <row r="366" spans="1:5" x14ac:dyDescent="0.35">
      <c r="A366" t="s">
        <v>11</v>
      </c>
      <c r="B366" t="s">
        <v>2215</v>
      </c>
      <c r="C366" t="str">
        <f t="shared" si="5"/>
        <v>Analyst InquiryInquiry to understand the differences between Office 365 vs its on-premises counterparts (Exchange Online, SharePoint Online and Office suite).</v>
      </c>
    </row>
    <row r="367" spans="1:5" x14ac:dyDescent="0.35">
      <c r="A367" t="s">
        <v>11</v>
      </c>
      <c r="B367" t="s">
        <v>2219</v>
      </c>
      <c r="C367" t="str">
        <f t="shared" si="5"/>
        <v>Analyst InquiryOn presenting Office 365 as a portfolio of evolving services that creates opportunities for more innovative collaboration.</v>
      </c>
      <c r="D367" t="s">
        <v>2220</v>
      </c>
      <c r="E367" t="s">
        <v>2221</v>
      </c>
    </row>
    <row r="368" spans="1:5" x14ac:dyDescent="0.35">
      <c r="A368" t="s">
        <v>11</v>
      </c>
      <c r="B368" t="s">
        <v>2226</v>
      </c>
      <c r="C368" t="str">
        <f t="shared" si="5"/>
        <v xml:space="preserve">Analyst InquiryInquiry on how to improve network agility to successfully support O365. </v>
      </c>
      <c r="D368" t="s">
        <v>2227</v>
      </c>
      <c r="E368" t="s">
        <v>2228</v>
      </c>
    </row>
    <row r="369" spans="1:5" x14ac:dyDescent="0.35">
      <c r="A369" t="s">
        <v>11</v>
      </c>
      <c r="B369" t="s">
        <v>2232</v>
      </c>
      <c r="C369" t="str">
        <f t="shared" si="5"/>
        <v xml:space="preserve">Analyst InquiryInquiry on how to use the Gartner SaaS security framework for future enhancements on Office 365 security. </v>
      </c>
      <c r="D369" t="s">
        <v>2233</v>
      </c>
      <c r="E369" t="s">
        <v>2234</v>
      </c>
    </row>
    <row r="370" spans="1:5" x14ac:dyDescent="0.35">
      <c r="A370" t="s">
        <v>11</v>
      </c>
      <c r="B370" t="s">
        <v>2235</v>
      </c>
      <c r="C370" t="str">
        <f t="shared" si="5"/>
        <v xml:space="preserve">Analyst InquiryInquiry on how to create a stronger connected, collaborative environment. </v>
      </c>
      <c r="D370" t="s">
        <v>2236</v>
      </c>
      <c r="E370" t="s">
        <v>2237</v>
      </c>
    </row>
    <row r="371" spans="1:5" x14ac:dyDescent="0.35">
      <c r="A371" t="s">
        <v>11</v>
      </c>
      <c r="B371" t="s">
        <v>2238</v>
      </c>
      <c r="C371" t="str">
        <f t="shared" si="5"/>
        <v>Analyst Inquiry Inquiry on inclusion and maturation of AI in Microsoft Office 365.</v>
      </c>
      <c r="D371" t="s">
        <v>2239</v>
      </c>
      <c r="E371" t="s">
        <v>2240</v>
      </c>
    </row>
    <row r="372" spans="1:5" x14ac:dyDescent="0.35">
      <c r="A372" t="s">
        <v>11</v>
      </c>
      <c r="B372" t="s">
        <v>2241</v>
      </c>
      <c r="C372" t="str">
        <f t="shared" si="5"/>
        <v>Analyst InquiryCultivating Microsoft relationship to maximize negotiation leverage.</v>
      </c>
      <c r="D372" t="s">
        <v>2242</v>
      </c>
      <c r="E372" t="s">
        <v>2243</v>
      </c>
    </row>
    <row r="373" spans="1:5" x14ac:dyDescent="0.35">
      <c r="A373" t="s">
        <v>11</v>
      </c>
      <c r="B373" t="s">
        <v>2248</v>
      </c>
      <c r="C373" t="str">
        <f t="shared" si="5"/>
        <v>Analyst InquiryEssential elements of a Smart City Strategy. Connecting smart city investments to a broader intelligent urban ecosystem strategy.</v>
      </c>
      <c r="D373" t="s">
        <v>2249</v>
      </c>
      <c r="E373" t="s">
        <v>2250</v>
      </c>
    </row>
    <row r="374" spans="1:5" x14ac:dyDescent="0.35">
      <c r="A374" t="s">
        <v>11</v>
      </c>
      <c r="B374" t="s">
        <v>2252</v>
      </c>
      <c r="C374" t="str">
        <f t="shared" si="5"/>
        <v>Analyst InquiryDesign a common agreement about smart city business strategies to align the technology roadmap accordingly.</v>
      </c>
      <c r="D374" t="s">
        <v>250</v>
      </c>
      <c r="E374" t="s">
        <v>2253</v>
      </c>
    </row>
    <row r="375" spans="1:5" x14ac:dyDescent="0.35">
      <c r="A375" t="s">
        <v>11</v>
      </c>
      <c r="B375" t="s">
        <v>2257</v>
      </c>
      <c r="C375" t="str">
        <f t="shared" si="5"/>
        <v xml:space="preserve">Analyst InquiryInquiry on developing a strategic IoT wireless networking plan for supporting Smart Cities. </v>
      </c>
      <c r="D375" t="s">
        <v>2258</v>
      </c>
      <c r="E375" t="s">
        <v>2259</v>
      </c>
    </row>
    <row r="376" spans="1:5" x14ac:dyDescent="0.35">
      <c r="A376" t="s">
        <v>11</v>
      </c>
      <c r="B376" t="s">
        <v>2266</v>
      </c>
      <c r="C376" t="str">
        <f t="shared" si="5"/>
        <v>Analyst InquiryExploit AI progressively in smart city transformation.</v>
      </c>
      <c r="D376" t="s">
        <v>2267</v>
      </c>
      <c r="E376" t="s">
        <v>2268</v>
      </c>
    </row>
    <row r="377" spans="1:5" x14ac:dyDescent="0.35">
      <c r="A377" t="s">
        <v>11</v>
      </c>
      <c r="B377" t="s">
        <v>2270</v>
      </c>
      <c r="C377" t="str">
        <f t="shared" si="5"/>
        <v>Analyst InquiryInquiry on predictions for smart city technology and solutions.</v>
      </c>
    </row>
    <row r="378" spans="1:5" x14ac:dyDescent="0.35">
      <c r="A378" t="s">
        <v>11</v>
      </c>
      <c r="B378" t="s">
        <v>2271</v>
      </c>
      <c r="C378" t="str">
        <f t="shared" si="5"/>
        <v>Analyst InquiryDiscuss key elements of a BPO strategy and approaches to evaluating services for BPO suitability.</v>
      </c>
    </row>
    <row r="379" spans="1:5" x14ac:dyDescent="0.35">
      <c r="A379" t="s">
        <v>11</v>
      </c>
      <c r="B379" t="s">
        <v>2272</v>
      </c>
      <c r="C379" t="str">
        <f t="shared" si="5"/>
        <v>Analyst InquiryDiscuss the BPO Vendor Landscape and recent changes in service offerings and contracting models.</v>
      </c>
      <c r="D379" t="s">
        <v>2273</v>
      </c>
      <c r="E379" t="s">
        <v>2274</v>
      </c>
    </row>
    <row r="380" spans="1:5" x14ac:dyDescent="0.35">
      <c r="A380" t="s">
        <v>11</v>
      </c>
      <c r="B380" t="s">
        <v>2278</v>
      </c>
      <c r="C380" t="str">
        <f t="shared" si="5"/>
        <v>Analyst InquiryLeverage the Gartner ESCAPE model to distill change leadership that CIOs can apply to bolster change success.</v>
      </c>
      <c r="D380" t="s">
        <v>2279</v>
      </c>
      <c r="E380" t="s">
        <v>2280</v>
      </c>
    </row>
    <row r="381" spans="1:5" x14ac:dyDescent="0.35">
      <c r="A381" t="s">
        <v>11</v>
      </c>
      <c r="B381" t="s">
        <v>2285</v>
      </c>
      <c r="C381" t="str">
        <f t="shared" si="5"/>
        <v>Analyst InquiryLeverage Gartner Analysts for vendor evaluation, contract and pricing review.</v>
      </c>
    </row>
    <row r="382" spans="1:5" x14ac:dyDescent="0.35">
      <c r="A382" t="s">
        <v>11</v>
      </c>
      <c r="B382" t="s">
        <v>2297</v>
      </c>
      <c r="C382" t="str">
        <f t="shared" si="5"/>
        <v xml:space="preserve">Analyst InquiryEstablish metrics for BPO.
</v>
      </c>
      <c r="D382" t="s">
        <v>2298</v>
      </c>
      <c r="E382" t="s">
        <v>2299</v>
      </c>
    </row>
    <row r="383" spans="1:5" x14ac:dyDescent="0.35">
      <c r="A383" t="s">
        <v>11</v>
      </c>
      <c r="B383" t="s">
        <v>2301</v>
      </c>
      <c r="C383" t="str">
        <f t="shared" si="5"/>
        <v xml:space="preserve">Analyst InquiryDiscuss alternative approaches to organizational design and which approach is the best fit for your organization. </v>
      </c>
      <c r="D383" t="s">
        <v>38</v>
      </c>
      <c r="E383" t="s">
        <v>39</v>
      </c>
    </row>
    <row r="384" spans="1:5" x14ac:dyDescent="0.35">
      <c r="A384" t="s">
        <v>11</v>
      </c>
      <c r="B384" t="s">
        <v>2308</v>
      </c>
      <c r="C384" t="str">
        <f t="shared" si="5"/>
        <v>Analyst InquirySeries of analyst calls for recommendations on moving business units to a more product oriented design. Start with the I&amp;O organization.</v>
      </c>
      <c r="D384" t="s">
        <v>2132</v>
      </c>
      <c r="E384" t="s">
        <v>57</v>
      </c>
    </row>
    <row r="385" spans="1:6" x14ac:dyDescent="0.35">
      <c r="A385" t="s">
        <v>11</v>
      </c>
      <c r="B385" t="s">
        <v>2313</v>
      </c>
      <c r="C385" t="str">
        <f t="shared" si="5"/>
        <v>Analyst InquiryLeading the change.</v>
      </c>
      <c r="D385" t="s">
        <v>1937</v>
      </c>
      <c r="E385" t="s">
        <v>1938</v>
      </c>
    </row>
    <row r="386" spans="1:6" x14ac:dyDescent="0.35">
      <c r="A386" t="s">
        <v>11</v>
      </c>
      <c r="B386" t="s">
        <v>2314</v>
      </c>
      <c r="C386" t="str">
        <f t="shared" si="5"/>
        <v xml:space="preserve">Analyst InquiryComplete the Digital Urgency Assessment and review with an analyst alongside the draft roadmap. Receive feedback and best practices.
</v>
      </c>
      <c r="D386" t="s">
        <v>1326</v>
      </c>
      <c r="E386" t="s">
        <v>1327</v>
      </c>
    </row>
    <row r="387" spans="1:6" x14ac:dyDescent="0.35">
      <c r="A387" t="s">
        <v>11</v>
      </c>
      <c r="B387" t="s">
        <v>2324</v>
      </c>
      <c r="C387" t="str">
        <f t="shared" ref="C387:C450" si="6">CONCATENATE(A387,B387)</f>
        <v>Analyst InquiryDiscuss challenges with transformation activities – e.g. lack of stakeholder engagement, conflicting priorities, and funding. Create action plan.</v>
      </c>
    </row>
    <row r="388" spans="1:6" x14ac:dyDescent="0.35">
      <c r="A388" t="s">
        <v>11</v>
      </c>
      <c r="B388" t="s">
        <v>2331</v>
      </c>
      <c r="C388" t="str">
        <f t="shared" si="6"/>
        <v>Analyst InquiryDiscuss IT components of strategy including required capabilities. Identify best practices to document and communicate.</v>
      </c>
      <c r="D388" t="s">
        <v>2033</v>
      </c>
      <c r="E388" t="s">
        <v>453</v>
      </c>
    </row>
    <row r="389" spans="1:6" x14ac:dyDescent="0.35">
      <c r="A389" t="s">
        <v>11</v>
      </c>
      <c r="B389" t="s">
        <v>2340</v>
      </c>
      <c r="C389" t="str">
        <f t="shared" si="6"/>
        <v>Analyst InquiryReview of ITScore assessments  to gain an understanding of your overall strengths and weaknesses, and how you to compare with similar enterprises.</v>
      </c>
    </row>
    <row r="390" spans="1:6" x14ac:dyDescent="0.35">
      <c r="A390" t="s">
        <v>11</v>
      </c>
      <c r="B390" t="s">
        <v>2345</v>
      </c>
      <c r="C390" t="str">
        <f t="shared" si="6"/>
        <v>Analyst InquirySeries of Analyst discussions for in-depth consideration of areas identified in the individual ITScore assessments.</v>
      </c>
    </row>
    <row r="391" spans="1:6" x14ac:dyDescent="0.35">
      <c r="A391" t="s">
        <v>11</v>
      </c>
      <c r="B391" t="s">
        <v>2355</v>
      </c>
      <c r="C391" t="str">
        <f t="shared" si="6"/>
        <v>Analyst InquirySet up analyst inquiries (as many as you need) to review contracts due for renewal and identify opportunities for savings.</v>
      </c>
    </row>
    <row r="392" spans="1:6" x14ac:dyDescent="0.35">
      <c r="A392" t="s">
        <v>11</v>
      </c>
      <c r="B392" t="s">
        <v>2360</v>
      </c>
      <c r="C392" t="str">
        <f t="shared" si="6"/>
        <v>Analyst InquiryFind the “next gear” of cost and productivity performance.</v>
      </c>
      <c r="D392" t="s">
        <v>2361</v>
      </c>
      <c r="E392" t="s">
        <v>2362</v>
      </c>
    </row>
    <row r="393" spans="1:6" x14ac:dyDescent="0.35">
      <c r="A393" t="s">
        <v>11</v>
      </c>
      <c r="B393" t="s">
        <v>2366</v>
      </c>
      <c r="C393" t="str">
        <f t="shared" si="6"/>
        <v xml:space="preserve">Analyst InquiryReview ITScore results. Gain insights on the best ways to accelerate strategy development.
</v>
      </c>
    </row>
    <row r="394" spans="1:6" x14ac:dyDescent="0.35">
      <c r="A394" t="s">
        <v>11</v>
      </c>
      <c r="B394" t="s">
        <v>2377</v>
      </c>
      <c r="C394" t="str">
        <f t="shared" si="6"/>
        <v>Analyst InquiryCommunicating the IT Strategy across the organization.</v>
      </c>
      <c r="D394" t="s">
        <v>487</v>
      </c>
      <c r="E394" t="s">
        <v>488</v>
      </c>
    </row>
    <row r="395" spans="1:6" x14ac:dyDescent="0.35">
      <c r="A395" t="s">
        <v>11</v>
      </c>
      <c r="B395" t="s">
        <v>2388</v>
      </c>
      <c r="C395" t="str">
        <f t="shared" si="6"/>
        <v xml:space="preserve">Analyst InquiryIdentify the best sequencing for changes to the IT operating model based on your organization’s priorities.
</v>
      </c>
      <c r="D395" t="s">
        <v>2389</v>
      </c>
      <c r="E395" t="s">
        <v>2390</v>
      </c>
    </row>
    <row r="396" spans="1:6" x14ac:dyDescent="0.35">
      <c r="A396" t="s">
        <v>11</v>
      </c>
      <c r="B396" t="s">
        <v>2392</v>
      </c>
      <c r="C396" t="str">
        <f t="shared" si="6"/>
        <v xml:space="preserve">Analyst InquiryReview questionnaire and assessment results. Discuss Operational model options. Define the optimized path/prioritization of the different components. </v>
      </c>
    </row>
    <row r="397" spans="1:6" x14ac:dyDescent="0.35">
      <c r="A397" t="s">
        <v>11</v>
      </c>
      <c r="B397" t="s">
        <v>2396</v>
      </c>
      <c r="C397" t="str">
        <f t="shared" si="6"/>
        <v xml:space="preserve">Analyst InquiryAnalyst calls to support the nine components of the operating model change initiative. </v>
      </c>
    </row>
    <row r="398" spans="1:6" x14ac:dyDescent="0.35">
      <c r="A398" t="s">
        <v>11</v>
      </c>
      <c r="B398" t="s">
        <v>2405</v>
      </c>
      <c r="C398" t="str">
        <f t="shared" si="6"/>
        <v xml:space="preserve">Analyst InquiryReview a draft of the innovation charter. Discuss staffing/activity plans. </v>
      </c>
    </row>
    <row r="399" spans="1:6" x14ac:dyDescent="0.35">
      <c r="A399" t="s">
        <v>11</v>
      </c>
      <c r="B399" t="s">
        <v>2410</v>
      </c>
      <c r="C399" t="str">
        <f t="shared" si="6"/>
        <v>Analyst InquiryLaying the foundations for ensuring innovation projects can successfully scale.</v>
      </c>
      <c r="D399" t="s">
        <v>642</v>
      </c>
      <c r="E399" t="s">
        <v>643</v>
      </c>
    </row>
    <row r="400" spans="1:6" x14ac:dyDescent="0.35">
      <c r="A400" t="s">
        <v>11</v>
      </c>
      <c r="B400" t="s">
        <v>2416</v>
      </c>
      <c r="C400" t="str">
        <f t="shared" si="6"/>
        <v xml:space="preserve">Analyst InquiryIntroductory call – best practices for measuring and communicating the business value of IT. 
</v>
      </c>
      <c r="D400" t="s">
        <v>2417</v>
      </c>
      <c r="E400" t="s">
        <v>2418</v>
      </c>
      <c r="F400" s="3"/>
    </row>
    <row r="401" spans="1:5" x14ac:dyDescent="0.35">
      <c r="A401" t="s">
        <v>11</v>
      </c>
      <c r="B401" t="s">
        <v>2421</v>
      </c>
      <c r="C401" t="str">
        <f t="shared" si="6"/>
        <v xml:space="preserve">Analyst InquiryBuilding a value model that provides CIOs with the ability to simulate the impact of IT investments and services on financial results.
</v>
      </c>
      <c r="D401" t="s">
        <v>2422</v>
      </c>
      <c r="E401" t="s">
        <v>2423</v>
      </c>
    </row>
    <row r="402" spans="1:5" x14ac:dyDescent="0.35">
      <c r="A402" t="s">
        <v>11</v>
      </c>
      <c r="B402" t="s">
        <v>2425</v>
      </c>
      <c r="C402" t="str">
        <f t="shared" si="6"/>
        <v>Analyst InquiryExplore the application of the concept of financial transparency to the business value challenge.</v>
      </c>
      <c r="D402" t="s">
        <v>1479</v>
      </c>
      <c r="E402" t="s">
        <v>1480</v>
      </c>
    </row>
    <row r="403" spans="1:5" x14ac:dyDescent="0.35">
      <c r="A403" t="s">
        <v>11</v>
      </c>
      <c r="B403" t="s">
        <v>2428</v>
      </c>
      <c r="C403" t="str">
        <f t="shared" si="6"/>
        <v xml:space="preserve">Analyst InquiryDiscuss the toolkit and learn how to correlate IT spending and business value metrics; to model potential investments and determine the value of IT. </v>
      </c>
      <c r="D403" t="s">
        <v>554</v>
      </c>
      <c r="E403" t="s">
        <v>552</v>
      </c>
    </row>
    <row r="404" spans="1:5" x14ac:dyDescent="0.35">
      <c r="A404" t="s">
        <v>11</v>
      </c>
      <c r="B404" t="s">
        <v>2438</v>
      </c>
      <c r="C404" t="str">
        <f t="shared" si="6"/>
        <v xml:space="preserve">Analyst InquiryReview the governance charter. Discuss how CIOs must act as a change agent while transitioning to a new governance model. </v>
      </c>
    </row>
    <row r="405" spans="1:5" x14ac:dyDescent="0.35">
      <c r="A405" t="s">
        <v>11</v>
      </c>
      <c r="B405" t="s">
        <v>1092</v>
      </c>
      <c r="C405" t="str">
        <f t="shared" si="6"/>
        <v>Analyst InquiryCreating an effective IT investment council (also known as "IT governance council") to maximize the value of investments involving IT.</v>
      </c>
      <c r="D405" t="s">
        <v>525</v>
      </c>
      <c r="E405" t="s">
        <v>526</v>
      </c>
    </row>
    <row r="406" spans="1:5" x14ac:dyDescent="0.35">
      <c r="A406" t="s">
        <v>11</v>
      </c>
      <c r="B406" t="s">
        <v>2442</v>
      </c>
      <c r="C406" t="str">
        <f t="shared" si="6"/>
        <v>Analyst InquiryDiscuss how to develop executive leadership in unifying, normalizing and resetting governance across the business.</v>
      </c>
      <c r="D406" t="s">
        <v>1108</v>
      </c>
      <c r="E406" t="s">
        <v>1109</v>
      </c>
    </row>
    <row r="407" spans="1:5" x14ac:dyDescent="0.35">
      <c r="A407" t="s">
        <v>11</v>
      </c>
      <c r="B407" t="s">
        <v>2448</v>
      </c>
      <c r="C407" t="str">
        <f t="shared" si="6"/>
        <v>Analyst InquiryCall with an analyst to discuss Data Management strategies and adopting one that suits the needs and future goals of the organization.</v>
      </c>
      <c r="D407" t="s">
        <v>4</v>
      </c>
      <c r="E407" t="s">
        <v>2177</v>
      </c>
    </row>
    <row r="408" spans="1:5" x14ac:dyDescent="0.35">
      <c r="A408" t="s">
        <v>11</v>
      </c>
      <c r="B408" t="s">
        <v>2455</v>
      </c>
      <c r="C408" t="str">
        <f t="shared" si="6"/>
        <v>Analyst InquiryDiscuss best practices in data management to leverage modern-day analytics.</v>
      </c>
      <c r="D408" t="s">
        <v>2188</v>
      </c>
      <c r="E408" t="s">
        <v>2189</v>
      </c>
    </row>
    <row r="409" spans="1:5" x14ac:dyDescent="0.35">
      <c r="A409" t="s">
        <v>11</v>
      </c>
      <c r="B409" t="s">
        <v>2457</v>
      </c>
      <c r="C409" t="str">
        <f t="shared" si="6"/>
        <v>Analyst InquiryReview ITScore and plan to build Data Management capabilities from a gap analysis of current capabilities.</v>
      </c>
      <c r="D409" t="s">
        <v>2191</v>
      </c>
      <c r="E409" t="s">
        <v>2192</v>
      </c>
    </row>
    <row r="410" spans="1:5" x14ac:dyDescent="0.35">
      <c r="A410" t="s">
        <v>11</v>
      </c>
      <c r="B410" t="s">
        <v>2465</v>
      </c>
      <c r="C410" t="str">
        <f t="shared" si="6"/>
        <v>Analyst InquiryDiscuss data strategy that will support successful deployments of Artificial Intelligence.</v>
      </c>
      <c r="D410" t="s">
        <v>2210</v>
      </c>
      <c r="E410" t="s">
        <v>2211</v>
      </c>
    </row>
    <row r="411" spans="1:5" x14ac:dyDescent="0.35">
      <c r="A411" t="s">
        <v>11</v>
      </c>
      <c r="B411" t="s">
        <v>2466</v>
      </c>
      <c r="C411" t="str">
        <f t="shared" si="6"/>
        <v>Analyst InquiryDiscuss on how to establish data governance standards, increase data usability, and develop end-user analysis capabilities.</v>
      </c>
      <c r="D411" t="s">
        <v>2467</v>
      </c>
      <c r="E411" t="s">
        <v>2468</v>
      </c>
    </row>
    <row r="412" spans="1:5" x14ac:dyDescent="0.35">
      <c r="A412" t="s">
        <v>11</v>
      </c>
      <c r="B412" t="s">
        <v>2471</v>
      </c>
      <c r="C412" t="str">
        <f t="shared" si="6"/>
        <v>Analyst InquiryCall with an analyst to review your answers &amp; discuss how to leverage Gartner’s cloud strategy framework &amp; align cloud strategy to business outcomes.</v>
      </c>
      <c r="D412" t="s">
        <v>2472</v>
      </c>
      <c r="E412" t="s">
        <v>1044</v>
      </c>
    </row>
    <row r="413" spans="1:5" x14ac:dyDescent="0.35">
      <c r="A413" t="s">
        <v>11</v>
      </c>
      <c r="B413" t="s">
        <v>2483</v>
      </c>
      <c r="C413" t="str">
        <f t="shared" si="6"/>
        <v xml:space="preserve">Analyst InquiryLeverage Gartner analysts for cloud technology selection and contract/pricing negotiations.
</v>
      </c>
      <c r="D413" t="s">
        <v>1063</v>
      </c>
      <c r="E413" t="s">
        <v>1064</v>
      </c>
    </row>
    <row r="414" spans="1:5" x14ac:dyDescent="0.35">
      <c r="A414" t="s">
        <v>11</v>
      </c>
      <c r="B414" t="s">
        <v>2490</v>
      </c>
      <c r="C414" t="str">
        <f t="shared" si="6"/>
        <v xml:space="preserve">Analyst InquiryDiscuss best practices to securely and reliably leverage the benefits of Cloud. Align current policies with best practices. </v>
      </c>
      <c r="D414" t="s">
        <v>2491</v>
      </c>
      <c r="E414" t="s">
        <v>1075</v>
      </c>
    </row>
    <row r="415" spans="1:5" x14ac:dyDescent="0.35">
      <c r="A415" t="s">
        <v>11</v>
      </c>
      <c r="B415" t="s">
        <v>2494</v>
      </c>
      <c r="C415" t="str">
        <f t="shared" si="6"/>
        <v>Analyst InquiryUnderstand the next waves of technologies building on cloud and discuss how cloud computing capabilities can be leveraged to drive business benefits.</v>
      </c>
      <c r="D415" t="s">
        <v>1056</v>
      </c>
      <c r="E415" t="s">
        <v>1070</v>
      </c>
    </row>
    <row r="416" spans="1:5" x14ac:dyDescent="0.35">
      <c r="A416" t="s">
        <v>11</v>
      </c>
      <c r="B416" t="s">
        <v>2495</v>
      </c>
      <c r="C416" t="str">
        <f t="shared" si="6"/>
        <v>Analyst InquiryDiscuss best practices to securely and reliably leverage the benefits of Cloud. Review current policies to align with best practices.</v>
      </c>
      <c r="D416" t="s">
        <v>2491</v>
      </c>
      <c r="E416" t="s">
        <v>1075</v>
      </c>
    </row>
    <row r="417" spans="1:5" x14ac:dyDescent="0.35">
      <c r="A417" t="s">
        <v>11</v>
      </c>
      <c r="B417" t="s">
        <v>2500</v>
      </c>
      <c r="C417" t="str">
        <f t="shared" si="6"/>
        <v>Analyst InquiryReview current and proposed organization structure. Consult on delivering business capabilities by leveraging people and processes.</v>
      </c>
      <c r="D417" t="s">
        <v>36</v>
      </c>
      <c r="E417" t="s">
        <v>2501</v>
      </c>
    </row>
    <row r="418" spans="1:5" x14ac:dyDescent="0.35">
      <c r="A418" t="s">
        <v>11</v>
      </c>
      <c r="B418" t="s">
        <v>2502</v>
      </c>
      <c r="C418" t="str">
        <f t="shared" si="6"/>
        <v>Analyst InquiryReview practical steps to build high performing abilities in the team.</v>
      </c>
      <c r="D418" t="s">
        <v>852</v>
      </c>
      <c r="E418" t="s">
        <v>2503</v>
      </c>
    </row>
    <row r="419" spans="1:5" x14ac:dyDescent="0.35">
      <c r="A419" t="s">
        <v>11</v>
      </c>
      <c r="B419" t="s">
        <v>2507</v>
      </c>
      <c r="C419" t="str">
        <f t="shared" si="6"/>
        <v>Analyst InquiryDiscussion on leveraging competency models to ramp up team performance and to use in career development, succession planning, performance management.</v>
      </c>
    </row>
    <row r="420" spans="1:5" x14ac:dyDescent="0.35">
      <c r="A420" t="s">
        <v>11</v>
      </c>
      <c r="B420" t="s">
        <v>2508</v>
      </c>
      <c r="C420" t="str">
        <f t="shared" si="6"/>
        <v>Analyst InquiryLeverage templates to create a one page IT workforce plan to anticipate, identify and communicate steps required to fill talent gaps.</v>
      </c>
      <c r="D420" t="s">
        <v>2509</v>
      </c>
      <c r="E420" t="s">
        <v>2510</v>
      </c>
    </row>
    <row r="421" spans="1:5" x14ac:dyDescent="0.35">
      <c r="A421" t="s">
        <v>11</v>
      </c>
      <c r="B421" t="s">
        <v>2516</v>
      </c>
      <c r="C421" t="str">
        <f t="shared" si="6"/>
        <v>Analyst InquiryOn alternative approaches to workforce planning.</v>
      </c>
      <c r="D421" t="s">
        <v>2517</v>
      </c>
      <c r="E421" t="s">
        <v>2518</v>
      </c>
    </row>
    <row r="422" spans="1:5" x14ac:dyDescent="0.35">
      <c r="A422" t="s">
        <v>11</v>
      </c>
      <c r="B422" t="s">
        <v>2522</v>
      </c>
      <c r="C422" t="str">
        <f t="shared" si="6"/>
        <v>Analyst InquiryReview tools and approaches to retain top talent.</v>
      </c>
      <c r="D422" t="s">
        <v>2523</v>
      </c>
      <c r="E422" t="s">
        <v>2524</v>
      </c>
    </row>
    <row r="423" spans="1:5" x14ac:dyDescent="0.35">
      <c r="A423" t="s">
        <v>11</v>
      </c>
      <c r="B423" t="s">
        <v>2525</v>
      </c>
      <c r="C423" t="str">
        <f t="shared" si="6"/>
        <v xml:space="preserve">Analyst InquiryDevelop AI strategy aligned to future trends.
</v>
      </c>
      <c r="D423" t="s">
        <v>2526</v>
      </c>
      <c r="E423" t="s">
        <v>2527</v>
      </c>
    </row>
    <row r="424" spans="1:5" x14ac:dyDescent="0.35">
      <c r="A424" t="s">
        <v>11</v>
      </c>
      <c r="B424" t="s">
        <v>2533</v>
      </c>
      <c r="C424" t="str">
        <f t="shared" si="6"/>
        <v xml:space="preserve">Analyst InquiryReview core Artificial Intelligence technologies with a Gartner subject matter expert. Identify gaps in current technology skill-set. 
</v>
      </c>
      <c r="D424" t="s">
        <v>2532</v>
      </c>
      <c r="E424" t="s">
        <v>367</v>
      </c>
    </row>
    <row r="425" spans="1:5" x14ac:dyDescent="0.35">
      <c r="A425" t="s">
        <v>11</v>
      </c>
      <c r="B425" t="s">
        <v>2534</v>
      </c>
      <c r="C425" t="str">
        <f t="shared" si="6"/>
        <v xml:space="preserve">Analyst InquiryAnalyze the potential of AI in various horizontal and vertical use cases.
</v>
      </c>
      <c r="D425" t="s">
        <v>375</v>
      </c>
      <c r="E425" t="s">
        <v>376</v>
      </c>
    </row>
    <row r="426" spans="1:5" x14ac:dyDescent="0.35">
      <c r="A426" t="s">
        <v>11</v>
      </c>
      <c r="B426" t="s">
        <v>2537</v>
      </c>
      <c r="C426" t="str">
        <f t="shared" si="6"/>
        <v>Analyst InquiryDiscuss common AI myths and pitfalls and how to avoid them.</v>
      </c>
      <c r="D426" t="s">
        <v>2529</v>
      </c>
      <c r="E426" t="s">
        <v>364</v>
      </c>
    </row>
    <row r="427" spans="1:5" x14ac:dyDescent="0.35">
      <c r="A427" t="s">
        <v>11</v>
      </c>
      <c r="B427" t="s">
        <v>2538</v>
      </c>
      <c r="C427" t="str">
        <f t="shared" si="6"/>
        <v>Analyst InquiryDiscuss how AI can be leveraged to improve a specific area e.g. Customer Experience.</v>
      </c>
      <c r="D427" t="s">
        <v>2539</v>
      </c>
      <c r="E427" t="s">
        <v>719</v>
      </c>
    </row>
    <row r="428" spans="1:5" x14ac:dyDescent="0.35">
      <c r="A428" t="s">
        <v>11</v>
      </c>
      <c r="B428" t="s">
        <v>2543</v>
      </c>
      <c r="C428" t="str">
        <f t="shared" si="6"/>
        <v xml:space="preserve">Analyst InquiryLeverage framework to understand areas where AI can be applied across the organization. 
</v>
      </c>
      <c r="D428" t="s">
        <v>2544</v>
      </c>
      <c r="E428" t="s">
        <v>2545</v>
      </c>
    </row>
    <row r="429" spans="1:5" x14ac:dyDescent="0.35">
      <c r="A429" t="s">
        <v>11</v>
      </c>
      <c r="B429" t="s">
        <v>2549</v>
      </c>
      <c r="C429" t="str">
        <f t="shared" si="6"/>
        <v>Analyst InquiryUnderstand the powerful and tangible business benefits that data science projects deliver.</v>
      </c>
      <c r="D429" t="s">
        <v>2550</v>
      </c>
      <c r="E429" t="s">
        <v>2551</v>
      </c>
    </row>
    <row r="430" spans="1:5" x14ac:dyDescent="0.35">
      <c r="A430" t="s">
        <v>11</v>
      </c>
      <c r="B430" t="s">
        <v>2552</v>
      </c>
      <c r="C430" t="str">
        <f t="shared" si="6"/>
        <v xml:space="preserve">Analyst InquiryCall with an analyst to support Roadmap implementation – platform architecture, technology options, integration, security etc. 
</v>
      </c>
    </row>
    <row r="431" spans="1:5" x14ac:dyDescent="0.35">
      <c r="A431" t="s">
        <v>11</v>
      </c>
      <c r="B431" t="s">
        <v>2556</v>
      </c>
      <c r="C431" t="str">
        <f t="shared" si="6"/>
        <v xml:space="preserve">Analyst InquiryLeverage Gartner analysts for AI vendor selection and contract review.  
</v>
      </c>
      <c r="D431" t="s">
        <v>392</v>
      </c>
      <c r="E431" t="s">
        <v>393</v>
      </c>
    </row>
    <row r="432" spans="1:5" x14ac:dyDescent="0.35">
      <c r="A432" t="s">
        <v>11</v>
      </c>
      <c r="B432" t="s">
        <v>2561</v>
      </c>
      <c r="C432" t="str">
        <f t="shared" si="6"/>
        <v xml:space="preserve">Analyst InquiryDiscuss IT Score results with an analyst and prioritize actions to take to address gaps in security management.
</v>
      </c>
    </row>
    <row r="433" spans="1:5" x14ac:dyDescent="0.35">
      <c r="A433" t="s">
        <v>11</v>
      </c>
      <c r="B433" t="s">
        <v>2568</v>
      </c>
      <c r="C433" t="str">
        <f t="shared" si="6"/>
        <v xml:space="preserve">Analyst InquiryAnalyst discussion on budgeting, financial analytics, and investments relating to your data security initiatives
</v>
      </c>
      <c r="D433" t="s">
        <v>1029</v>
      </c>
      <c r="E433" t="s">
        <v>1030</v>
      </c>
    </row>
    <row r="434" spans="1:5" x14ac:dyDescent="0.35">
      <c r="A434" t="s">
        <v>11</v>
      </c>
      <c r="B434" t="s">
        <v>2570</v>
      </c>
      <c r="C434" t="str">
        <f t="shared" si="6"/>
        <v xml:space="preserve">Analyst InquiryDiscussion with an analyst on sensitive data classification and handling policies.
</v>
      </c>
      <c r="D434" t="s">
        <v>1681</v>
      </c>
      <c r="E434" t="s">
        <v>1019</v>
      </c>
    </row>
    <row r="435" spans="1:5" x14ac:dyDescent="0.35">
      <c r="A435" t="s">
        <v>11</v>
      </c>
      <c r="B435" t="s">
        <v>2574</v>
      </c>
      <c r="C435" t="str">
        <f t="shared" si="6"/>
        <v>Analyst InquiryHow and why CIOs who proactively, strategically engage with their business peers can build trust and partnerships that deliver business outcomes.</v>
      </c>
      <c r="D435" t="s">
        <v>2575</v>
      </c>
      <c r="E435" t="s">
        <v>2576</v>
      </c>
    </row>
    <row r="436" spans="1:5" x14ac:dyDescent="0.35">
      <c r="A436" t="s">
        <v>11</v>
      </c>
      <c r="B436" t="s">
        <v>2579</v>
      </c>
      <c r="C436" t="str">
        <f t="shared" si="6"/>
        <v>Analyst InquiryDiscuss how to engage directly with stakeholders to shift from responding to management-led business requirements to initiating business requirements.</v>
      </c>
      <c r="D436" t="s">
        <v>1848</v>
      </c>
      <c r="E436" t="s">
        <v>1849</v>
      </c>
    </row>
    <row r="437" spans="1:5" x14ac:dyDescent="0.35">
      <c r="A437" t="s">
        <v>11</v>
      </c>
      <c r="B437" t="s">
        <v>2580</v>
      </c>
      <c r="C437" t="str">
        <f t="shared" si="6"/>
        <v>Analyst InquiryHow to implement techniques which support business alignment with project objectives, as well as reporting alignment with the proper audiences.</v>
      </c>
      <c r="D437" t="s">
        <v>2581</v>
      </c>
      <c r="E437" t="s">
        <v>2582</v>
      </c>
    </row>
    <row r="438" spans="1:5" x14ac:dyDescent="0.35">
      <c r="A438" t="s">
        <v>11</v>
      </c>
      <c r="B438" t="s">
        <v>2585</v>
      </c>
      <c r="C438" t="str">
        <f t="shared" si="6"/>
        <v xml:space="preserve">Analyst InquiryGartner analyst discussion on how to become a trusted ally taking on responsibility for enterprisewide strategic decisions. </v>
      </c>
      <c r="D438" t="s">
        <v>2586</v>
      </c>
      <c r="E438" t="s">
        <v>2587</v>
      </c>
    </row>
    <row r="439" spans="1:5" x14ac:dyDescent="0.35">
      <c r="A439" t="s">
        <v>11</v>
      </c>
      <c r="B439" t="s">
        <v>2589</v>
      </c>
      <c r="C439" t="str">
        <f t="shared" si="6"/>
        <v xml:space="preserve">Analyst InquiryBest practices in transitioning to agile: getting started &amp; planning pilot projects. 
</v>
      </c>
      <c r="D439" t="s">
        <v>2590</v>
      </c>
      <c r="E439" t="s">
        <v>2591</v>
      </c>
    </row>
    <row r="440" spans="1:5" x14ac:dyDescent="0.35">
      <c r="A440" t="s">
        <v>11</v>
      </c>
      <c r="B440" t="s">
        <v>2592</v>
      </c>
      <c r="C440" t="str">
        <f t="shared" si="6"/>
        <v xml:space="preserve">Analyst InquiryDiscuss foundational steps that need to be taken to establish a successful DevOps initiative. 
</v>
      </c>
      <c r="D440" t="s">
        <v>2593</v>
      </c>
      <c r="E440" t="s">
        <v>1513</v>
      </c>
    </row>
    <row r="441" spans="1:5" x14ac:dyDescent="0.35">
      <c r="A441" t="s">
        <v>11</v>
      </c>
      <c r="B441" t="s">
        <v>2598</v>
      </c>
      <c r="C441" t="str">
        <f t="shared" si="6"/>
        <v xml:space="preserve">Analyst InquiryIdentify the most suitable style of application organization structure to support agile transformation.
</v>
      </c>
      <c r="D441" t="s">
        <v>2599</v>
      </c>
      <c r="E441" t="s">
        <v>1907</v>
      </c>
    </row>
    <row r="442" spans="1:5" x14ac:dyDescent="0.35">
      <c r="A442" t="s">
        <v>11</v>
      </c>
      <c r="B442" t="s">
        <v>2602</v>
      </c>
      <c r="C442" t="str">
        <f t="shared" si="6"/>
        <v xml:space="preserve">Analyst InquirySession on best practices in selecting the right tools for DevOps. </v>
      </c>
      <c r="D442" t="s">
        <v>2603</v>
      </c>
      <c r="E442" t="s">
        <v>2604</v>
      </c>
    </row>
    <row r="443" spans="1:5" x14ac:dyDescent="0.35">
      <c r="A443" t="s">
        <v>11</v>
      </c>
      <c r="B443" t="s">
        <v>2605</v>
      </c>
      <c r="C443" t="str">
        <f t="shared" si="6"/>
        <v>Analyst InquiryDiscuss scaling DevOps initiative across the organization.</v>
      </c>
      <c r="D443" t="s">
        <v>1531</v>
      </c>
      <c r="E443" t="s">
        <v>1532</v>
      </c>
    </row>
    <row r="444" spans="1:5" x14ac:dyDescent="0.35">
      <c r="A444" t="s">
        <v>11</v>
      </c>
      <c r="B444" t="s">
        <v>2607</v>
      </c>
      <c r="C444" t="str">
        <f t="shared" si="6"/>
        <v xml:space="preserve">Analyst InquiryEstablish a process for continually updating and evolving the toolchain to adapt to the organization’s and delivery team’s changing priorities.
</v>
      </c>
      <c r="D444" t="s">
        <v>2608</v>
      </c>
      <c r="E444" t="s">
        <v>2609</v>
      </c>
    </row>
    <row r="445" spans="1:5" x14ac:dyDescent="0.35">
      <c r="A445" t="s">
        <v>11</v>
      </c>
      <c r="B445" t="s">
        <v>2611</v>
      </c>
      <c r="C445" t="str">
        <f t="shared" si="6"/>
        <v>Analyst InquiryApproaches to consciously deepening the team's leadership capabilities  to remain relevant and maximize value contribution.</v>
      </c>
      <c r="D445" t="s">
        <v>811</v>
      </c>
      <c r="E445" t="s">
        <v>832</v>
      </c>
    </row>
    <row r="446" spans="1:5" x14ac:dyDescent="0.35">
      <c r="A446" t="s">
        <v>11</v>
      </c>
      <c r="B446" t="s">
        <v>2622</v>
      </c>
      <c r="C446" t="str">
        <f t="shared" si="6"/>
        <v>Analyst InquiryHow to revamp professional development programs and groom managers to be coaches who can build and sustain a continuous-learning culture.</v>
      </c>
      <c r="D446" t="s">
        <v>941</v>
      </c>
      <c r="E446" t="s">
        <v>2515</v>
      </c>
    </row>
    <row r="447" spans="1:5" x14ac:dyDescent="0.35">
      <c r="A447" t="s">
        <v>11</v>
      </c>
      <c r="B447" t="s">
        <v>2626</v>
      </c>
      <c r="C447" t="str">
        <f t="shared" si="6"/>
        <v xml:space="preserve">Analyst InquiryUnderstand the alternative leadership approaches and which approach will result in the best outcomes for a specific situation and the team. </v>
      </c>
      <c r="D447" t="s">
        <v>2627</v>
      </c>
      <c r="E447" t="s">
        <v>818</v>
      </c>
    </row>
    <row r="448" spans="1:5" x14ac:dyDescent="0.35">
      <c r="A448" t="s">
        <v>11</v>
      </c>
      <c r="B448" t="s">
        <v>2631</v>
      </c>
      <c r="C448" t="str">
        <f t="shared" si="6"/>
        <v>Analyst InquiryHow to perform top-down IT synergy analysis that leverages benchmarking information.</v>
      </c>
      <c r="D448" t="s">
        <v>576</v>
      </c>
      <c r="E448" t="s">
        <v>577</v>
      </c>
    </row>
    <row r="449" spans="1:5" x14ac:dyDescent="0.35">
      <c r="A449" t="s">
        <v>11</v>
      </c>
      <c r="B449" t="s">
        <v>2636</v>
      </c>
      <c r="C449" t="str">
        <f t="shared" si="6"/>
        <v>Analyst InquiryDevelop an M&amp;A IT integration plan aligned to the objectives of the deal. Identify key stakeholders and communicate relevant information effectively.</v>
      </c>
      <c r="D449" t="s">
        <v>2637</v>
      </c>
      <c r="E449" t="s">
        <v>2638</v>
      </c>
    </row>
    <row r="450" spans="1:5" x14ac:dyDescent="0.35">
      <c r="A450" t="s">
        <v>11</v>
      </c>
      <c r="B450" t="s">
        <v>2643</v>
      </c>
      <c r="C450" t="str">
        <f t="shared" si="6"/>
        <v>Analyst InquirySeries of calls on software contract considerations for M&amp;A integration.</v>
      </c>
      <c r="D450" t="s">
        <v>2644</v>
      </c>
      <c r="E450" t="s">
        <v>2645</v>
      </c>
    </row>
    <row r="451" spans="1:5" x14ac:dyDescent="0.35">
      <c r="A451" t="s">
        <v>11</v>
      </c>
      <c r="B451" t="s">
        <v>2649</v>
      </c>
      <c r="C451" t="str">
        <f t="shared" ref="C451:C514" si="7">CONCATENATE(A451,B451)</f>
        <v xml:space="preserve">Analyst InquiryDeveloping a vendor management mission and charter including governance policies and procedures.   </v>
      </c>
      <c r="D451" t="s">
        <v>2650</v>
      </c>
      <c r="E451" t="s">
        <v>1285</v>
      </c>
    </row>
    <row r="452" spans="1:5" x14ac:dyDescent="0.35">
      <c r="A452" t="s">
        <v>11</v>
      </c>
      <c r="B452" t="s">
        <v>2656</v>
      </c>
      <c r="C452" t="str">
        <f t="shared" si="7"/>
        <v>Analyst InquiryCreate a vendor performance management plan, track &amp; capture a complete view of a vendor’s performance, and identify &amp; fix vendor under performance.</v>
      </c>
      <c r="D452" t="s">
        <v>2657</v>
      </c>
      <c r="E452" t="s">
        <v>2658</v>
      </c>
    </row>
    <row r="453" spans="1:5" x14ac:dyDescent="0.35">
      <c r="A453" t="s">
        <v>11</v>
      </c>
      <c r="B453" t="s">
        <v>2665</v>
      </c>
      <c r="C453" t="str">
        <f t="shared" si="7"/>
        <v>Analyst InquiryCall with an analyst to understand how trends and technology will shape the future state ERP. Discuss current ERP maturity and envision future state.</v>
      </c>
      <c r="D453" t="s">
        <v>2666</v>
      </c>
      <c r="E453" t="s">
        <v>751</v>
      </c>
    </row>
    <row r="454" spans="1:5" x14ac:dyDescent="0.35">
      <c r="A454" t="s">
        <v>11</v>
      </c>
      <c r="B454" t="s">
        <v>2674</v>
      </c>
      <c r="C454" t="str">
        <f t="shared" si="7"/>
        <v>Analyst InquiryReview the ERP application portfolio and consult Gartner analysts in making the 'Buy' vs 'Build' decision.</v>
      </c>
      <c r="D454" t="s">
        <v>763</v>
      </c>
      <c r="E454" t="s">
        <v>764</v>
      </c>
    </row>
    <row r="455" spans="1:5" x14ac:dyDescent="0.35">
      <c r="A455" t="s">
        <v>11</v>
      </c>
      <c r="B455" t="s">
        <v>2678</v>
      </c>
      <c r="C455" t="str">
        <f t="shared" si="7"/>
        <v>Analyst InquiryCall with an analyst to develop guiding principles that support execution of the ERP strategy and establish effective long-term governance.</v>
      </c>
      <c r="D455" t="s">
        <v>775</v>
      </c>
      <c r="E455" t="s">
        <v>776</v>
      </c>
    </row>
    <row r="456" spans="1:5" x14ac:dyDescent="0.35">
      <c r="A456" t="s">
        <v>11</v>
      </c>
      <c r="B456" t="s">
        <v>2680</v>
      </c>
      <c r="C456" t="str">
        <f t="shared" si="7"/>
        <v>Analyst InquiryEngage analyst on accelerating ERP adoption, productivity and benefits realization using the best practices.</v>
      </c>
      <c r="D456" t="s">
        <v>781</v>
      </c>
      <c r="E456" t="s">
        <v>782</v>
      </c>
    </row>
    <row r="457" spans="1:5" x14ac:dyDescent="0.35">
      <c r="A457" t="s">
        <v>11</v>
      </c>
      <c r="B457" t="s">
        <v>2684</v>
      </c>
      <c r="C457" t="str">
        <f t="shared" si="7"/>
        <v>Analyst InquiryHow to create a robust and reusable organizational change competency that positions the enterprise to respond to changing demands.</v>
      </c>
      <c r="D457" t="s">
        <v>814</v>
      </c>
      <c r="E457" t="s">
        <v>815</v>
      </c>
    </row>
    <row r="458" spans="1:5" x14ac:dyDescent="0.35">
      <c r="A458" t="s">
        <v>11</v>
      </c>
      <c r="B458" t="s">
        <v>2688</v>
      </c>
      <c r="C458" t="str">
        <f t="shared" si="7"/>
        <v>Analyst InquiryDevelop a “change story” for the organization. Review the change story with  an analyst and discuss initial steps and communication.</v>
      </c>
      <c r="D458" t="s">
        <v>66</v>
      </c>
      <c r="E458" t="s">
        <v>67</v>
      </c>
    </row>
    <row r="459" spans="1:5" x14ac:dyDescent="0.35">
      <c r="A459" t="s">
        <v>11</v>
      </c>
      <c r="B459" t="s">
        <v>2690</v>
      </c>
      <c r="C459" t="str">
        <f t="shared" si="7"/>
        <v>Analyst InquiryMap out the key elements of a communication plan. Review and apply Gartner Tools. Try out your change stories on a Gartner subject matter expert.</v>
      </c>
      <c r="D459" t="s">
        <v>2691</v>
      </c>
      <c r="E459" t="s">
        <v>2692</v>
      </c>
    </row>
    <row r="460" spans="1:5" x14ac:dyDescent="0.35">
      <c r="A460" t="s">
        <v>11</v>
      </c>
      <c r="B460" t="s">
        <v>2693</v>
      </c>
      <c r="C460" t="str">
        <f t="shared" si="7"/>
        <v>Analyst InquiryReview the Gartner ESCAPE model and discuss how this model can be applied during the transformation efforts.</v>
      </c>
      <c r="D460" t="s">
        <v>836</v>
      </c>
      <c r="E460" t="s">
        <v>2694</v>
      </c>
    </row>
    <row r="461" spans="1:5" x14ac:dyDescent="0.35">
      <c r="A461" t="s">
        <v>11</v>
      </c>
      <c r="B461" t="s">
        <v>2695</v>
      </c>
      <c r="C461" t="str">
        <f t="shared" si="7"/>
        <v>Analyst InquiryReview your collateral and try out your change stories on a Gartner subject matter expert.</v>
      </c>
    </row>
    <row r="462" spans="1:5" x14ac:dyDescent="0.35">
      <c r="A462" t="s">
        <v>11</v>
      </c>
      <c r="B462" t="s">
        <v>2696</v>
      </c>
      <c r="C462" t="str">
        <f t="shared" si="7"/>
        <v>Analyst InquiryDiscuss specific areas of concern and risk with a Gartner subject matter expert.</v>
      </c>
    </row>
    <row r="463" spans="1:5" x14ac:dyDescent="0.35">
      <c r="A463" t="s">
        <v>11</v>
      </c>
      <c r="B463" t="s">
        <v>2700</v>
      </c>
      <c r="C463" t="str">
        <f t="shared" si="7"/>
        <v>Analyst InquiryDiscuss best practices CIOs can use to ensure IT is positioned to work effectively with executive leadership teams across the enterprise.</v>
      </c>
      <c r="D463" t="s">
        <v>2701</v>
      </c>
      <c r="E463" t="s">
        <v>2702</v>
      </c>
    </row>
    <row r="464" spans="1:5" x14ac:dyDescent="0.35">
      <c r="A464" t="s">
        <v>11</v>
      </c>
      <c r="B464" t="s">
        <v>2705</v>
      </c>
      <c r="C464" t="str">
        <f t="shared" si="7"/>
        <v>Analyst InquiryHow CIOs can close the business-IT divide and better engage with business stakeholders to optimize the value of I&amp;T as an input to business strategy.</v>
      </c>
      <c r="D464" t="s">
        <v>2706</v>
      </c>
      <c r="E464" t="s">
        <v>1849</v>
      </c>
    </row>
    <row r="465" spans="1:5" x14ac:dyDescent="0.35">
      <c r="A465" t="s">
        <v>11</v>
      </c>
      <c r="B465" t="s">
        <v>2714</v>
      </c>
      <c r="C465" t="str">
        <f t="shared" si="7"/>
        <v>Analyst InquiryHow to evaluate your emotional intelligence to improve self-awareness and ability to regulate emotions.</v>
      </c>
      <c r="D465" t="s">
        <v>2520</v>
      </c>
      <c r="E465" t="s">
        <v>2521</v>
      </c>
    </row>
    <row r="466" spans="1:5" x14ac:dyDescent="0.35">
      <c r="A466" t="s">
        <v>11</v>
      </c>
      <c r="B466" t="s">
        <v>2719</v>
      </c>
      <c r="C466" t="str">
        <f t="shared" si="7"/>
        <v xml:space="preserve">Analyst InquiryReview maturity results. Define success criteria for CRM &amp; Customer Experience program. Identify next steps. </v>
      </c>
    </row>
    <row r="467" spans="1:5" x14ac:dyDescent="0.35">
      <c r="A467" t="s">
        <v>11</v>
      </c>
      <c r="B467" t="s">
        <v>2727</v>
      </c>
      <c r="C467" t="str">
        <f t="shared" si="7"/>
        <v>Analyst InquiryDesigning your customer engagement hub to optimally engage the customer by typing multiple systems together.</v>
      </c>
      <c r="D467" t="s">
        <v>705</v>
      </c>
      <c r="E467" t="s">
        <v>706</v>
      </c>
    </row>
    <row r="468" spans="1:5" x14ac:dyDescent="0.35">
      <c r="A468" t="s">
        <v>11</v>
      </c>
      <c r="B468" t="s">
        <v>2728</v>
      </c>
      <c r="C468" t="str">
        <f t="shared" si="7"/>
        <v xml:space="preserve">Analyst InquiryHow Artificial intelligence will transform the customer experience through deeper understanding of customer behavior. </v>
      </c>
      <c r="D468" t="s">
        <v>2539</v>
      </c>
      <c r="E468" t="s">
        <v>719</v>
      </c>
    </row>
    <row r="469" spans="1:5" x14ac:dyDescent="0.35">
      <c r="A469" t="s">
        <v>11</v>
      </c>
      <c r="B469" t="s">
        <v>2732</v>
      </c>
      <c r="C469" t="str">
        <f t="shared" si="7"/>
        <v>Analyst InquiryIdentifying ROI metrics for CX improvement projects to link CX investment to financial benefit in order to prioritize investment in new technologies.</v>
      </c>
      <c r="D469" t="s">
        <v>2733</v>
      </c>
      <c r="E469" t="s">
        <v>2734</v>
      </c>
    </row>
    <row r="470" spans="1:5" x14ac:dyDescent="0.35">
      <c r="A470" t="s">
        <v>11</v>
      </c>
      <c r="B470" t="s">
        <v>2741</v>
      </c>
      <c r="C470" t="str">
        <f t="shared" si="7"/>
        <v>Analyst InquiryDiscuss how leaders make practical progress toward the ultimate goal of culture change – focusing on nearer-in goals and a more bottom-up approach.</v>
      </c>
      <c r="D470" t="s">
        <v>2742</v>
      </c>
      <c r="E470" t="s">
        <v>2743</v>
      </c>
    </row>
    <row r="471" spans="1:5" x14ac:dyDescent="0.35">
      <c r="A471" t="s">
        <v>11</v>
      </c>
      <c r="B471" t="s">
        <v>2744</v>
      </c>
      <c r="C471" t="str">
        <f t="shared" si="7"/>
        <v>Analyst InquiryIntroduction to five dimensions of culture that are effective starting points for culture change.</v>
      </c>
      <c r="D471" t="s">
        <v>2745</v>
      </c>
      <c r="E471" t="s">
        <v>965</v>
      </c>
    </row>
    <row r="472" spans="1:5" x14ac:dyDescent="0.35">
      <c r="A472" t="s">
        <v>11</v>
      </c>
      <c r="B472" t="s">
        <v>2751</v>
      </c>
      <c r="C472" t="str">
        <f t="shared" si="7"/>
        <v>Analyst InquiryCreate a safe environment for colleagues and staff to express challenges by acknowledging frustration as a natural part of learning something new.</v>
      </c>
      <c r="D472" t="s">
        <v>983</v>
      </c>
      <c r="E472" t="s">
        <v>2752</v>
      </c>
    </row>
    <row r="473" spans="1:5" x14ac:dyDescent="0.35">
      <c r="A473" t="s">
        <v>11</v>
      </c>
      <c r="B473" t="s">
        <v>2761</v>
      </c>
      <c r="C473" t="str">
        <f t="shared" si="7"/>
        <v xml:space="preserve">Analyst InquiryReview results of the fitness and value reviews. Discuss best practice approaches to prioritization. </v>
      </c>
      <c r="D473" t="s">
        <v>1131</v>
      </c>
      <c r="E473" t="s">
        <v>2762</v>
      </c>
    </row>
    <row r="474" spans="1:5" x14ac:dyDescent="0.35">
      <c r="A474" t="s">
        <v>11</v>
      </c>
      <c r="B474" t="s">
        <v>2772</v>
      </c>
      <c r="C474" t="str">
        <f t="shared" si="7"/>
        <v>Analyst InquirySeries of calls to leverage Gartner analysts for support with vendor selection &amp; pricing review, for tools to enable ongoing portfolio optimization.</v>
      </c>
      <c r="D474" t="s">
        <v>2171</v>
      </c>
      <c r="E474" t="s">
        <v>2172</v>
      </c>
    </row>
    <row r="475" spans="1:5" x14ac:dyDescent="0.35">
      <c r="A475" t="s">
        <v>11</v>
      </c>
      <c r="B475" t="s">
        <v>2774</v>
      </c>
      <c r="C475" t="str">
        <f t="shared" si="7"/>
        <v>Analyst InquiryIntroduce the ITScore to determine the current-state EA maturity. Review ITScore results. Identify opportunities for improvements.</v>
      </c>
    </row>
    <row r="476" spans="1:5" x14ac:dyDescent="0.35">
      <c r="A476" t="s">
        <v>11</v>
      </c>
      <c r="B476" t="s">
        <v>2783</v>
      </c>
      <c r="C476" t="str">
        <f t="shared" si="7"/>
        <v>Analyst InquiryDiscussion on creating a stage plan that will provide a structure to build a world-class EA capability.</v>
      </c>
      <c r="D476" t="s">
        <v>2784</v>
      </c>
      <c r="E476" t="s">
        <v>2785</v>
      </c>
    </row>
    <row r="477" spans="1:5" x14ac:dyDescent="0.35">
      <c r="A477" t="s">
        <v>11</v>
      </c>
      <c r="B477" t="s">
        <v>2786</v>
      </c>
      <c r="C477" t="str">
        <f t="shared" si="7"/>
        <v xml:space="preserve">Analyst InquiryInquiry on selecting the right Enterprise Architecture tools. 
</v>
      </c>
      <c r="D477" t="s">
        <v>2787</v>
      </c>
      <c r="E477" t="s">
        <v>2788</v>
      </c>
    </row>
    <row r="478" spans="1:5" x14ac:dyDescent="0.35">
      <c r="A478" t="s">
        <v>11</v>
      </c>
      <c r="B478" t="s">
        <v>2793</v>
      </c>
      <c r="C478" t="str">
        <f t="shared" si="7"/>
        <v>Analyst InquiryDiscuss research to rethink and plan EA governance, assurance and review boards.</v>
      </c>
      <c r="D478" t="s">
        <v>2794</v>
      </c>
      <c r="E478" t="s">
        <v>1587</v>
      </c>
    </row>
    <row r="479" spans="1:5" x14ac:dyDescent="0.35">
      <c r="A479" t="s">
        <v>11</v>
      </c>
      <c r="B479" t="s">
        <v>2802</v>
      </c>
      <c r="C479" t="str">
        <f t="shared" si="7"/>
        <v xml:space="preserve">Analyst InquiryReview ITScore results. Evaluate current capabilities, establish areas that need improvements and chart out an action plan to advance capabilities.
</v>
      </c>
    </row>
    <row r="480" spans="1:5" x14ac:dyDescent="0.35">
      <c r="A480" t="s">
        <v>11</v>
      </c>
      <c r="B480" t="s">
        <v>2812</v>
      </c>
      <c r="C480" t="str">
        <f t="shared" si="7"/>
        <v>Analyst InquiryReview and establish Data and Analytics governance in line with the best practices in the industry.</v>
      </c>
      <c r="D480" t="s">
        <v>2813</v>
      </c>
      <c r="E480" t="s">
        <v>2814</v>
      </c>
    </row>
    <row r="481" spans="1:5" x14ac:dyDescent="0.35">
      <c r="A481" t="s">
        <v>11</v>
      </c>
      <c r="B481" t="s">
        <v>2824</v>
      </c>
      <c r="C481" t="str">
        <f t="shared" si="7"/>
        <v>Analyst InquiryReview ITScore results. Evaluate current capabilities, establish areas that need improvements and chart out an action plan to advance capabilities.</v>
      </c>
    </row>
    <row r="482" spans="1:5" x14ac:dyDescent="0.35">
      <c r="A482" t="s">
        <v>11</v>
      </c>
      <c r="B482" t="s">
        <v>2826</v>
      </c>
      <c r="C482" t="str">
        <f t="shared" si="7"/>
        <v>Analyst InquiryReview and refresh your Data &amp; Analytics vision for the future. Leverage presentations for communications to leadership, peers and teams.</v>
      </c>
      <c r="D482" t="s">
        <v>2827</v>
      </c>
      <c r="E482" t="s">
        <v>2828</v>
      </c>
    </row>
    <row r="483" spans="1:5" x14ac:dyDescent="0.35">
      <c r="A483" t="s">
        <v>11</v>
      </c>
      <c r="B483" t="s">
        <v>2829</v>
      </c>
      <c r="C483" t="str">
        <f t="shared" si="7"/>
        <v>Analyst InquiryHow to create concrete, measurable metrics that link analytics and BI initiatives to information, business and stakeholder value.</v>
      </c>
      <c r="D483" t="s">
        <v>2822</v>
      </c>
      <c r="E483" t="s">
        <v>343</v>
      </c>
    </row>
    <row r="484" spans="1:5" x14ac:dyDescent="0.35">
      <c r="A484" t="s">
        <v>11</v>
      </c>
      <c r="B484" t="s">
        <v>2834</v>
      </c>
      <c r="C484" t="str">
        <f t="shared" si="7"/>
        <v>Analyst InquiryFocused on future leadership skills and competencies for the CIO.</v>
      </c>
      <c r="D484" t="s">
        <v>2835</v>
      </c>
      <c r="E484" t="s">
        <v>2836</v>
      </c>
    </row>
    <row r="485" spans="1:5" x14ac:dyDescent="0.35">
      <c r="A485" t="s">
        <v>11</v>
      </c>
      <c r="B485" t="s">
        <v>2845</v>
      </c>
      <c r="C485" t="str">
        <f t="shared" si="7"/>
        <v>Analyst InquiryAdapt your communication style to your audience, create compelling &amp; engaging presentations and increase the clarity and relevance of your content.</v>
      </c>
      <c r="D485" t="s">
        <v>2846</v>
      </c>
      <c r="E485" t="s">
        <v>2709</v>
      </c>
    </row>
    <row r="486" spans="1:5" x14ac:dyDescent="0.35">
      <c r="A486" t="s">
        <v>11</v>
      </c>
      <c r="B486" t="s">
        <v>2861</v>
      </c>
      <c r="C486" t="str">
        <f t="shared" si="7"/>
        <v>Analyst InquiryLeverage peer connect template to assess the cyberscurity maturity of the organization</v>
      </c>
      <c r="D486" t="s">
        <v>2862</v>
      </c>
      <c r="E486" t="s">
        <v>2863</v>
      </c>
    </row>
    <row r="487" spans="1:5" x14ac:dyDescent="0.35">
      <c r="A487" t="s">
        <v>11</v>
      </c>
      <c r="B487" t="s">
        <v>2866</v>
      </c>
      <c r="C487" t="str">
        <f t="shared" si="7"/>
        <v xml:space="preserve">Analyst InquiryAssess the current gap in the cyber-security. Align the plan to address these gaps in the cyber-security. </v>
      </c>
      <c r="D487" t="s">
        <v>2867</v>
      </c>
      <c r="E487" t="s">
        <v>2868</v>
      </c>
    </row>
    <row r="488" spans="1:5" x14ac:dyDescent="0.35">
      <c r="A488" t="s">
        <v>11</v>
      </c>
      <c r="B488" t="s">
        <v>2873</v>
      </c>
      <c r="C488" t="str">
        <f t="shared" si="7"/>
        <v>Analyst InquiryDiscuss with an analyst to develop a response mechanism in case of a cyberattack</v>
      </c>
      <c r="D488" t="s">
        <v>997</v>
      </c>
      <c r="E488" t="s">
        <v>1159</v>
      </c>
    </row>
    <row r="489" spans="1:5" x14ac:dyDescent="0.35">
      <c r="A489" t="s">
        <v>11</v>
      </c>
      <c r="B489" t="s">
        <v>2874</v>
      </c>
      <c r="C489" t="str">
        <f t="shared" si="7"/>
        <v>Analyst InquiryDiscuss with Gartner Analyst to optimize your cybersecurity workforce by building a talent ecosystem in collaboration with cyber-communities</v>
      </c>
      <c r="D489" t="s">
        <v>2875</v>
      </c>
      <c r="E489" t="s">
        <v>2876</v>
      </c>
    </row>
    <row r="490" spans="1:5" x14ac:dyDescent="0.35">
      <c r="A490" t="s">
        <v>11</v>
      </c>
      <c r="B490" t="s">
        <v>2877</v>
      </c>
      <c r="C490" t="str">
        <f t="shared" si="7"/>
        <v xml:space="preserve">Analyst InquiryDiscuss with an analyst on the responsiveness of the organization with respect to the new identified cyber threats </v>
      </c>
    </row>
    <row r="491" spans="1:5" x14ac:dyDescent="0.35">
      <c r="A491" t="s">
        <v>11</v>
      </c>
      <c r="B491" t="s">
        <v>2889</v>
      </c>
      <c r="C491" t="str">
        <f t="shared" si="7"/>
        <v xml:space="preserve">Analyst InquiryLeverage  Gartner’s Digital Dexterity Index  to benchmark workers: </v>
      </c>
      <c r="D491" t="s">
        <v>2890</v>
      </c>
      <c r="E491" t="s">
        <v>2891</v>
      </c>
    </row>
    <row r="492" spans="1:5" x14ac:dyDescent="0.35">
      <c r="A492" t="s">
        <v>11</v>
      </c>
      <c r="B492" t="s">
        <v>2895</v>
      </c>
      <c r="C492" t="str">
        <f t="shared" si="7"/>
        <v xml:space="preserve">Analyst InquiryDiscuss technology trends and implementation maturity: </v>
      </c>
      <c r="D492" t="s">
        <v>2896</v>
      </c>
      <c r="E492" t="s">
        <v>2897</v>
      </c>
    </row>
    <row r="493" spans="1:5" x14ac:dyDescent="0.35">
      <c r="A493" t="s">
        <v>11</v>
      </c>
      <c r="B493" t="s">
        <v>2902</v>
      </c>
      <c r="C493" t="str">
        <f t="shared" si="7"/>
        <v xml:space="preserve">Analyst InquiryDiscuss how to align people, processes and IT within the digital workplace initiative: </v>
      </c>
      <c r="D493" t="s">
        <v>2903</v>
      </c>
      <c r="E493" t="s">
        <v>2904</v>
      </c>
    </row>
    <row r="494" spans="1:5" x14ac:dyDescent="0.35">
      <c r="A494" t="s">
        <v>11</v>
      </c>
      <c r="B494" t="s">
        <v>2913</v>
      </c>
      <c r="C494" t="str">
        <f t="shared" si="7"/>
        <v xml:space="preserve">Analyst InquiryAnalyst inquiry on the trends and predictions on Blockchain technology.
</v>
      </c>
      <c r="D494" t="s">
        <v>2914</v>
      </c>
      <c r="E494" t="s">
        <v>2915</v>
      </c>
    </row>
    <row r="495" spans="1:5" x14ac:dyDescent="0.35">
      <c r="A495" t="s">
        <v>11</v>
      </c>
      <c r="B495" t="s">
        <v>2927</v>
      </c>
      <c r="C495" t="str">
        <f t="shared" si="7"/>
        <v xml:space="preserve">Analyst InquiryInquiry on scope of business transformation using Blockchain. 
</v>
      </c>
      <c r="D495" t="s">
        <v>2928</v>
      </c>
      <c r="E495" t="s">
        <v>2929</v>
      </c>
    </row>
    <row r="496" spans="1:5" x14ac:dyDescent="0.35">
      <c r="A496" t="s">
        <v>11</v>
      </c>
      <c r="B496" t="s">
        <v>2945</v>
      </c>
      <c r="C496" t="str">
        <f t="shared" si="7"/>
        <v xml:space="preserve">Analyst InquiryThe privacy risks in Blockchain and how to leverage Blockchain to address existing privacy challenges. 
</v>
      </c>
      <c r="D496" t="s">
        <v>2946</v>
      </c>
      <c r="E496" t="s">
        <v>2947</v>
      </c>
    </row>
    <row r="497" spans="1:5" x14ac:dyDescent="0.35">
      <c r="A497" t="s">
        <v>11</v>
      </c>
      <c r="B497" t="s">
        <v>2948</v>
      </c>
      <c r="C497" t="str">
        <f t="shared" si="7"/>
        <v>Analyst InquiryWorkforce assessment - Gartner / Mercer compensation survey results (Americas).</v>
      </c>
    </row>
    <row r="498" spans="1:5" x14ac:dyDescent="0.35">
      <c r="A498" t="s">
        <v>11</v>
      </c>
      <c r="B498" t="s">
        <v>2966</v>
      </c>
      <c r="C498" t="str">
        <f t="shared" si="7"/>
        <v xml:space="preserve">Analyst InquiryReview and discuss changes required to IT's capabilities, organization structure, skillset &amp; delivery models to facilitate transition to product. </v>
      </c>
      <c r="D498" t="s">
        <v>2967</v>
      </c>
      <c r="E498" t="s">
        <v>2968</v>
      </c>
    </row>
    <row r="499" spans="1:5" x14ac:dyDescent="0.35">
      <c r="A499" t="s">
        <v>11</v>
      </c>
      <c r="B499" t="s">
        <v>2970</v>
      </c>
      <c r="C499" t="str">
        <f t="shared" si="7"/>
        <v>Analyst InquiryConsult on changes required to organizational structure and operating model for the shift to a product-centric organization.</v>
      </c>
      <c r="D499" t="s">
        <v>2971</v>
      </c>
      <c r="E499" t="s">
        <v>2972</v>
      </c>
    </row>
    <row r="500" spans="1:5" x14ac:dyDescent="0.35">
      <c r="A500" t="s">
        <v>11</v>
      </c>
      <c r="B500" t="s">
        <v>2980</v>
      </c>
      <c r="C500" t="str">
        <f t="shared" si="7"/>
        <v>Analyst InquiryTransform portfolios and governance processes to fit the transition to a product-centric model.</v>
      </c>
      <c r="D500" t="s">
        <v>1128</v>
      </c>
      <c r="E500" t="s">
        <v>1129</v>
      </c>
    </row>
    <row r="501" spans="1:5" x14ac:dyDescent="0.35">
      <c r="A501" t="s">
        <v>11</v>
      </c>
      <c r="B501" t="s">
        <v>2995</v>
      </c>
      <c r="C501" t="str">
        <f t="shared" si="7"/>
        <v xml:space="preserve">Analyst InquiryReview and understand changes required to IT's capabilities, organization structure, skillset &amp; delivery models to facilitate transition to product. </v>
      </c>
      <c r="D501" t="s">
        <v>2967</v>
      </c>
      <c r="E501" t="s">
        <v>2968</v>
      </c>
    </row>
    <row r="502" spans="1:5" x14ac:dyDescent="0.35">
      <c r="A502" t="s">
        <v>11</v>
      </c>
      <c r="B502" t="s">
        <v>3004</v>
      </c>
      <c r="C502" t="str">
        <f t="shared" si="7"/>
        <v xml:space="preserve">Analyst InquiryTransform portfolios and governance processes to fit the transition to a product-centric model. 
</v>
      </c>
      <c r="D502" t="s">
        <v>1128</v>
      </c>
      <c r="E502" t="s">
        <v>1129</v>
      </c>
    </row>
    <row r="503" spans="1:5" x14ac:dyDescent="0.35">
      <c r="A503" t="s">
        <v>11</v>
      </c>
      <c r="B503" t="s">
        <v>3008</v>
      </c>
      <c r="C503" t="str">
        <f t="shared" si="7"/>
        <v>Analyst InquiryOn the potential and pitfalls of blockchain technology. Identify areas where blockchain provides differentiated value.</v>
      </c>
      <c r="D503" t="s">
        <v>2916</v>
      </c>
      <c r="E503" t="s">
        <v>3009</v>
      </c>
    </row>
    <row r="504" spans="1:5" x14ac:dyDescent="0.35">
      <c r="A504" t="s">
        <v>11</v>
      </c>
      <c r="B504" t="s">
        <v>3010</v>
      </c>
      <c r="C504" t="str">
        <f t="shared" si="7"/>
        <v>Analyst InquiryEvaluate initiatives with best match to strategic goals.</v>
      </c>
      <c r="D504" t="s">
        <v>2922</v>
      </c>
      <c r="E504" t="s">
        <v>2923</v>
      </c>
    </row>
    <row r="505" spans="1:5" x14ac:dyDescent="0.35">
      <c r="A505" t="s">
        <v>11</v>
      </c>
      <c r="B505" t="s">
        <v>3014</v>
      </c>
      <c r="C505" t="str">
        <f t="shared" si="7"/>
        <v>Analyst InquiryCreate effective value proposition frameworks to manage business expectations.</v>
      </c>
      <c r="D505" t="s">
        <v>2925</v>
      </c>
      <c r="E505" t="s">
        <v>3015</v>
      </c>
    </row>
    <row r="506" spans="1:5" x14ac:dyDescent="0.35">
      <c r="A506" t="s">
        <v>11</v>
      </c>
      <c r="B506" t="s">
        <v>3017</v>
      </c>
      <c r="C506" t="str">
        <f t="shared" si="7"/>
        <v>Analyst InquiryOn communicating blockchain's potential and setting expectations.</v>
      </c>
      <c r="D506" t="s">
        <v>3018</v>
      </c>
      <c r="E506" t="s">
        <v>3019</v>
      </c>
    </row>
    <row r="507" spans="1:5" x14ac:dyDescent="0.35">
      <c r="A507" t="s">
        <v>11</v>
      </c>
      <c r="B507" t="s">
        <v>3024</v>
      </c>
      <c r="C507" t="str">
        <f t="shared" si="7"/>
        <v>Analyst InquiryEvaluate the risks and preparedness for any blockchain-based project.</v>
      </c>
      <c r="D507" t="s">
        <v>3025</v>
      </c>
      <c r="E507" t="s">
        <v>3026</v>
      </c>
    </row>
    <row r="508" spans="1:5" x14ac:dyDescent="0.35">
      <c r="A508" t="s">
        <v>11</v>
      </c>
      <c r="B508" t="s">
        <v>3032</v>
      </c>
      <c r="C508" t="str">
        <f t="shared" si="7"/>
        <v>Analyst InquiryPrioritize next set of initiatives involving blockchain technologies.</v>
      </c>
      <c r="D508" t="s">
        <v>3033</v>
      </c>
      <c r="E508" t="s">
        <v>3034</v>
      </c>
    </row>
    <row r="509" spans="1:5" x14ac:dyDescent="0.35">
      <c r="A509" t="s">
        <v>11</v>
      </c>
      <c r="B509" t="s">
        <v>3038</v>
      </c>
      <c r="C509" t="str">
        <f t="shared" si="7"/>
        <v>Analyst InquiryEngage with analysts on the potential and pitfalls of blockchain technology. Identify areas where blockchain provides differentiated value.</v>
      </c>
      <c r="D509" t="s">
        <v>2916</v>
      </c>
      <c r="E509" t="s">
        <v>3009</v>
      </c>
    </row>
    <row r="510" spans="1:5" x14ac:dyDescent="0.35">
      <c r="A510" t="s">
        <v>11</v>
      </c>
      <c r="B510" t="s">
        <v>3041</v>
      </c>
      <c r="C510" t="str">
        <f t="shared" si="7"/>
        <v>Analyst InquiryAnalyst calls on communicating blockchain's potential and setting expectations.</v>
      </c>
      <c r="D510" t="s">
        <v>3018</v>
      </c>
      <c r="E510" t="s">
        <v>3019</v>
      </c>
    </row>
    <row r="511" spans="1:5" x14ac:dyDescent="0.35">
      <c r="A511" t="s">
        <v>11</v>
      </c>
      <c r="B511" t="s">
        <v>3030</v>
      </c>
      <c r="C511" t="str">
        <f t="shared" si="7"/>
        <v>Analyst InquiryDiscussion around handling challenges and assessing technical and operating model scalability factors.</v>
      </c>
      <c r="D511" t="s">
        <v>2937</v>
      </c>
      <c r="E511" t="s">
        <v>3031</v>
      </c>
    </row>
    <row r="512" spans="1:5" x14ac:dyDescent="0.35">
      <c r="A512" t="s">
        <v>11</v>
      </c>
      <c r="B512" t="s">
        <v>3045</v>
      </c>
      <c r="C512" t="str">
        <f t="shared" si="7"/>
        <v xml:space="preserve">Analyst InquiryEvaluate the risks and preparedness for any blockchain-based project. </v>
      </c>
      <c r="D512" t="s">
        <v>3025</v>
      </c>
      <c r="E512" t="s">
        <v>3026</v>
      </c>
    </row>
    <row r="513" spans="1:5" x14ac:dyDescent="0.35">
      <c r="A513" t="s">
        <v>11</v>
      </c>
      <c r="B513" t="s">
        <v>3035</v>
      </c>
      <c r="C513" t="str">
        <f t="shared" si="7"/>
        <v>Analyst InquiryTrack progress, identify gaps and explore opportunities. Draft a plan for next steps.</v>
      </c>
    </row>
    <row r="514" spans="1:5" x14ac:dyDescent="0.35">
      <c r="A514" t="s">
        <v>11</v>
      </c>
      <c r="B514" t="s">
        <v>3063</v>
      </c>
      <c r="C514" t="str">
        <f t="shared" si="7"/>
        <v>Analyst InquiryDiscuss with Gartner Analyst on network and gateway security strategies and design, and listen to any alternatives or other suggestions</v>
      </c>
    </row>
    <row r="515" spans="1:5" x14ac:dyDescent="0.35">
      <c r="A515" t="s">
        <v>11</v>
      </c>
      <c r="B515" t="s">
        <v>3078</v>
      </c>
      <c r="C515" t="str">
        <f t="shared" ref="C515:C578" si="8">CONCATENATE(A515,B515)</f>
        <v>Analyst InquiryReview results of ITScore with analyst to understand implications and set goals for improvement</v>
      </c>
    </row>
    <row r="516" spans="1:5" x14ac:dyDescent="0.35">
      <c r="A516" t="s">
        <v>11</v>
      </c>
      <c r="B516" t="s">
        <v>3101</v>
      </c>
      <c r="C516" t="str">
        <f t="shared" si="8"/>
        <v>Analyst InquiryDiscuss scorecard and performance reviews with analyst</v>
      </c>
    </row>
    <row r="517" spans="1:5" x14ac:dyDescent="0.35">
      <c r="A517" t="s">
        <v>11</v>
      </c>
      <c r="B517" t="s">
        <v>3108</v>
      </c>
      <c r="C517" t="str">
        <f t="shared" si="8"/>
        <v>Analyst Inquiry Discuss vendor segmentation with analyst</v>
      </c>
    </row>
    <row r="518" spans="1:5" x14ac:dyDescent="0.35">
      <c r="A518" t="s">
        <v>11</v>
      </c>
      <c r="B518" t="s">
        <v>3119</v>
      </c>
      <c r="C518" t="str">
        <f t="shared" si="8"/>
        <v>Analyst InquiryConsult with analyst on digital business opportunities &amp; building a transformation roadmap</v>
      </c>
    </row>
    <row r="519" spans="1:5" x14ac:dyDescent="0.35">
      <c r="A519" t="s">
        <v>11</v>
      </c>
      <c r="B519" t="s">
        <v>3130</v>
      </c>
      <c r="C519" t="str">
        <f t="shared" si="8"/>
        <v xml:space="preserve">Analyst InquiryAnalyst Inquiry to define key success factors to accelerate digital transformation </v>
      </c>
      <c r="D519" t="s">
        <v>3131</v>
      </c>
      <c r="E519" t="s">
        <v>3132</v>
      </c>
    </row>
    <row r="520" spans="1:5" x14ac:dyDescent="0.35">
      <c r="A520" t="s">
        <v>11</v>
      </c>
      <c r="B520" t="s">
        <v>3169</v>
      </c>
      <c r="C520" t="str">
        <f t="shared" si="8"/>
        <v xml:space="preserve">Analyst InquirySet goal levels to achieve in Customer Experience
</v>
      </c>
    </row>
    <row r="521" spans="1:5" x14ac:dyDescent="0.35">
      <c r="A521" t="s">
        <v>11</v>
      </c>
      <c r="B521" t="s">
        <v>3176</v>
      </c>
      <c r="C521" t="str">
        <f t="shared" si="8"/>
        <v xml:space="preserve">Analyst InquiryDesign quality framework to capture customer feedback in real time </v>
      </c>
    </row>
    <row r="522" spans="1:5" x14ac:dyDescent="0.35">
      <c r="A522" t="s">
        <v>11</v>
      </c>
      <c r="B522" t="s">
        <v>3181</v>
      </c>
      <c r="C522" t="str">
        <f t="shared" si="8"/>
        <v>Analyst InquiryConnect with analyst to understand how to make customer service and support processes key differentiators.</v>
      </c>
    </row>
    <row r="523" spans="1:5" x14ac:dyDescent="0.35">
      <c r="A523" t="s">
        <v>11</v>
      </c>
      <c r="B523" t="s">
        <v>3195</v>
      </c>
      <c r="C523" t="str">
        <f t="shared" si="8"/>
        <v xml:space="preserve">Analyst InquiryEngage with Analyst to build a hierarchical dashboard of customer experience metrics
</v>
      </c>
    </row>
    <row r="524" spans="1:5" x14ac:dyDescent="0.35">
      <c r="A524" t="s">
        <v>11</v>
      </c>
      <c r="B524" t="s">
        <v>3218</v>
      </c>
      <c r="C524" t="str">
        <f t="shared" si="8"/>
        <v>Analyst InquiryEngage with analyst to share your vision on your Org Design/Service Delivery model. Gain insight on enhancing and maturing I&amp;O org</v>
      </c>
    </row>
    <row r="525" spans="1:5" x14ac:dyDescent="0.35">
      <c r="A525" t="s">
        <v>11</v>
      </c>
      <c r="B525" t="s">
        <v>3222</v>
      </c>
      <c r="C525" t="str">
        <f t="shared" si="8"/>
        <v>Analyst InquiryOrganizing for Success - No IT structure universally applies, but a structure correct at a given time exists for each enterprise.</v>
      </c>
    </row>
    <row r="526" spans="1:5" x14ac:dyDescent="0.35">
      <c r="A526" t="s">
        <v>11</v>
      </c>
      <c r="B526" t="s">
        <v>3231</v>
      </c>
      <c r="C526" t="str">
        <f t="shared" si="8"/>
        <v>Analyst InquiryReview Investing in Transition Planning Will Maximize Success for Managed Services Outsourcing Deals to understand the importance of change management</v>
      </c>
    </row>
    <row r="527" spans="1:5" x14ac:dyDescent="0.35">
      <c r="A527" t="s">
        <v>11</v>
      </c>
      <c r="B527" t="s">
        <v>3247</v>
      </c>
      <c r="C527" t="str">
        <f t="shared" si="8"/>
        <v xml:space="preserve">Analyst InquiryCollaborate with an analyst on taking relevant steps for building I&amp;O Organization of the future
</v>
      </c>
    </row>
    <row r="528" spans="1:5" x14ac:dyDescent="0.35">
      <c r="A528" t="s">
        <v>11</v>
      </c>
      <c r="B528" t="s">
        <v>3257</v>
      </c>
      <c r="C528" t="str">
        <f t="shared" si="8"/>
        <v xml:space="preserve">Analyst InquiryEngage with analyst on assessment of current VMO and strategize to mature it  </v>
      </c>
    </row>
    <row r="529" spans="1:5" x14ac:dyDescent="0.35">
      <c r="A529" t="s">
        <v>11</v>
      </c>
      <c r="B529" t="s">
        <v>3278</v>
      </c>
      <c r="C529" t="str">
        <f t="shared" si="8"/>
        <v xml:space="preserve">Analyst InquiryEngage with analyst to review Scorecards and dashboards </v>
      </c>
    </row>
    <row r="530" spans="1:5" x14ac:dyDescent="0.35">
      <c r="A530" t="s">
        <v>11</v>
      </c>
      <c r="B530" t="s">
        <v>3286</v>
      </c>
      <c r="C530" t="str">
        <f t="shared" si="8"/>
        <v>Analyst InquiryEngage with Analyst to review Vendor Risk Management framework</v>
      </c>
    </row>
    <row r="531" spans="1:5" x14ac:dyDescent="0.35">
      <c r="A531" t="s">
        <v>11</v>
      </c>
      <c r="B531" t="s">
        <v>3295</v>
      </c>
      <c r="C531" t="str">
        <f t="shared" si="8"/>
        <v>Analyst InquiryEngage with an analyst on understanding the diverse ways and purposes for which AI technologies can enter enterprises</v>
      </c>
    </row>
    <row r="532" spans="1:5" x14ac:dyDescent="0.35">
      <c r="A532" t="s">
        <v>11</v>
      </c>
      <c r="B532" t="s">
        <v>3305</v>
      </c>
      <c r="C532" t="str">
        <f t="shared" si="8"/>
        <v>Analyst InquiryConnect with analyst on how mature is AI and how should that impact enterprise strategies</v>
      </c>
    </row>
    <row r="533" spans="1:5" x14ac:dyDescent="0.35">
      <c r="A533" t="s">
        <v>11</v>
      </c>
      <c r="B533" t="s">
        <v>3317</v>
      </c>
      <c r="C533" t="str">
        <f t="shared" si="8"/>
        <v>Analyst InquiryEngage with an analyst on clearing out dangerous AI myths and delivering business value for digital business</v>
      </c>
    </row>
    <row r="534" spans="1:5" x14ac:dyDescent="0.35">
      <c r="A534" t="s">
        <v>11</v>
      </c>
      <c r="B534" t="s">
        <v>3353</v>
      </c>
      <c r="C534" t="str">
        <f t="shared" si="8"/>
        <v>Analyst InquiryConnect with an analyst to build a well-planned and managed service improvement initiative that deliver benefits beyond efficiency</v>
      </c>
    </row>
    <row r="535" spans="1:5" x14ac:dyDescent="0.35">
      <c r="A535" t="s">
        <v>11</v>
      </c>
      <c r="B535" t="s">
        <v>3354</v>
      </c>
      <c r="C535" t="str">
        <f t="shared" si="8"/>
        <v xml:space="preserve">Analyst InquiryReview ITSM Roadmap with analyst </v>
      </c>
    </row>
    <row r="536" spans="1:5" x14ac:dyDescent="0.35">
      <c r="A536" t="s">
        <v>11</v>
      </c>
      <c r="B536" t="s">
        <v>3375</v>
      </c>
      <c r="C536" t="str">
        <f t="shared" si="8"/>
        <v>Analyst InquiryTo create concrete, measurable metrics that link data and analytics initiatives to information, business and stakeholder value</v>
      </c>
      <c r="D536" t="s">
        <v>3376</v>
      </c>
      <c r="E536" t="s">
        <v>3377</v>
      </c>
    </row>
    <row r="537" spans="1:5" x14ac:dyDescent="0.35">
      <c r="A537" t="s">
        <v>11</v>
      </c>
      <c r="B537" t="s">
        <v>3385</v>
      </c>
      <c r="C537" t="str">
        <f t="shared" si="8"/>
        <v>Analyst InquiryEngage with Gartner Analyst to develop enterprise reporting from the transaction systems and use deep dive analytics to drive greater insight</v>
      </c>
    </row>
    <row r="538" spans="1:5" x14ac:dyDescent="0.35">
      <c r="A538" t="s">
        <v>11</v>
      </c>
      <c r="B538" t="s">
        <v>3397</v>
      </c>
      <c r="C538" t="str">
        <f t="shared" si="8"/>
        <v xml:space="preserve">Analyst InquiryTo understand the practicalities of dashboard design, interactivity and data visualization elements </v>
      </c>
      <c r="D538" t="s">
        <v>3398</v>
      </c>
      <c r="E538" t="s">
        <v>3399</v>
      </c>
    </row>
    <row r="539" spans="1:5" x14ac:dyDescent="0.35">
      <c r="A539" t="s">
        <v>11</v>
      </c>
      <c r="B539" t="s">
        <v>3375</v>
      </c>
      <c r="C539" t="str">
        <f t="shared" si="8"/>
        <v>Analyst InquiryTo create concrete, measurable metrics that link data and analytics initiatives to information, business and stakeholder value</v>
      </c>
      <c r="D539" t="s">
        <v>3402</v>
      </c>
      <c r="E539" t="s">
        <v>3403</v>
      </c>
    </row>
    <row r="540" spans="1:5" x14ac:dyDescent="0.35">
      <c r="A540" t="s">
        <v>11</v>
      </c>
      <c r="B540" t="s">
        <v>3411</v>
      </c>
      <c r="C540" t="str">
        <f t="shared" si="8"/>
        <v>Analyst InquiryEngage with Matthew W. Cain to discuss Office 365 and Google Cloud Options and understand the overall cloud office market</v>
      </c>
    </row>
    <row r="541" spans="1:5" x14ac:dyDescent="0.35">
      <c r="A541" t="s">
        <v>11</v>
      </c>
      <c r="B541" t="s">
        <v>3426</v>
      </c>
      <c r="C541" t="str">
        <f t="shared" si="8"/>
        <v>Analyst InquiryConnect with Adam Preset to get advice on Google docs MS office 365 integration and best practices for Office 365</v>
      </c>
    </row>
    <row r="542" spans="1:5" x14ac:dyDescent="0.35">
      <c r="A542" t="s">
        <v>11</v>
      </c>
      <c r="B542" t="s">
        <v>3458</v>
      </c>
      <c r="C542" t="str">
        <f t="shared" si="8"/>
        <v xml:space="preserve">Analyst InquiryCollaborate with an analyst to identify a business need that DevOps will address in order to justify a DevOps initiative   </v>
      </c>
    </row>
    <row r="543" spans="1:5" x14ac:dyDescent="0.35">
      <c r="A543" t="s">
        <v>11</v>
      </c>
      <c r="B543" t="s">
        <v>3477</v>
      </c>
      <c r="C543" t="str">
        <f t="shared" si="8"/>
        <v xml:space="preserve">Analyst InquiryEngage with an analyst on dynamic areas of DevOps and how tools can help IT Operations &amp; DevOps teams to achieve their goals  </v>
      </c>
    </row>
    <row r="544" spans="1:5" x14ac:dyDescent="0.35">
      <c r="A544" t="s">
        <v>11</v>
      </c>
      <c r="B544" t="s">
        <v>3496</v>
      </c>
      <c r="C544" t="str">
        <f t="shared" si="8"/>
        <v>Analyst InquiryEngage with analyst to focus on cloud computing, emerging and strategic technology trends, and how enterprises establish technology innovation program</v>
      </c>
    </row>
    <row r="545" spans="1:5" x14ac:dyDescent="0.35">
      <c r="A545" t="s">
        <v>11</v>
      </c>
      <c r="B545" t="s">
        <v>3531</v>
      </c>
      <c r="C545" t="str">
        <f t="shared" si="8"/>
        <v xml:space="preserve">Analyst InquiryEngage with Gartner Analyst to evaluate the modernization approaches on their ability to select the best approach to solve their problem </v>
      </c>
    </row>
    <row r="546" spans="1:5" x14ac:dyDescent="0.35">
      <c r="A546" t="s">
        <v>11</v>
      </c>
      <c r="B546" t="s">
        <v>3538</v>
      </c>
      <c r="C546" t="str">
        <f t="shared" si="8"/>
        <v>Analyst InquiryUse Gartner's evaluation process to select the best approach for modernization</v>
      </c>
    </row>
    <row r="547" spans="1:5" x14ac:dyDescent="0.35">
      <c r="A547" t="s">
        <v>11</v>
      </c>
      <c r="B547" t="s">
        <v>3546</v>
      </c>
      <c r="C547" t="str">
        <f t="shared" si="8"/>
        <v xml:space="preserve">Analyst InquiryEngage with Analyst to modernize application development </v>
      </c>
      <c r="D547" t="s">
        <v>3547</v>
      </c>
      <c r="E547" t="s">
        <v>3548</v>
      </c>
    </row>
    <row r="548" spans="1:5" x14ac:dyDescent="0.35">
      <c r="A548" t="s">
        <v>11</v>
      </c>
      <c r="B548" t="s">
        <v>3550</v>
      </c>
      <c r="C548" t="str">
        <f t="shared" si="8"/>
        <v>Analyst InquiryTo get a high-level view of application development spending and staffing measures and distributions</v>
      </c>
      <c r="D548" t="s">
        <v>3551</v>
      </c>
      <c r="E548" t="s">
        <v>3552</v>
      </c>
    </row>
    <row r="549" spans="1:5" x14ac:dyDescent="0.35">
      <c r="A549" t="s">
        <v>11</v>
      </c>
      <c r="B549" t="s">
        <v>3572</v>
      </c>
      <c r="C549" t="str">
        <f t="shared" si="8"/>
        <v>Analyst InquiryImplement and enforce policies on cloud ownership, responsibility and risk acceptance with Analyst</v>
      </c>
    </row>
    <row r="550" spans="1:5" x14ac:dyDescent="0.35">
      <c r="A550" t="s">
        <v>11</v>
      </c>
      <c r="B550" t="s">
        <v>3582</v>
      </c>
      <c r="C550" t="str">
        <f t="shared" si="8"/>
        <v xml:space="preserve">Analyst InquiryFor understanding technologies and vendor evaluation, leverage Gartner analyst </v>
      </c>
    </row>
    <row r="551" spans="1:5" x14ac:dyDescent="0.35">
      <c r="A551" t="s">
        <v>11</v>
      </c>
      <c r="B551" t="s">
        <v>3599</v>
      </c>
      <c r="C551" t="str">
        <f t="shared" si="8"/>
        <v>Analyst InquiryEngage with Gartner analyst for gaining insights into RFP and contract negotiation with cloud solution providers</v>
      </c>
    </row>
    <row r="552" spans="1:5" x14ac:dyDescent="0.35">
      <c r="A552" t="s">
        <v>11</v>
      </c>
      <c r="B552" t="s">
        <v>3601</v>
      </c>
      <c r="C552" t="str">
        <f t="shared" si="8"/>
        <v>Analyst InquiryPrepare for presentation of cloud security strategy to executive leadership.  Discuss audience, key messages and potential questions</v>
      </c>
    </row>
    <row r="553" spans="1:5" x14ac:dyDescent="0.35">
      <c r="A553" t="s">
        <v>11</v>
      </c>
      <c r="B553" t="s">
        <v>3602</v>
      </c>
      <c r="C553" t="str">
        <f t="shared" si="8"/>
        <v>Analyst InquiryIdentify metrics that indicate program effectiveness</v>
      </c>
    </row>
    <row r="554" spans="1:5" x14ac:dyDescent="0.35">
      <c r="A554" t="s">
        <v>11</v>
      </c>
      <c r="B554" t="s">
        <v>3609</v>
      </c>
      <c r="C554" t="str">
        <f t="shared" si="8"/>
        <v>Analyst InquiryEngage to identify a business need in detail that DevOps will address</v>
      </c>
    </row>
    <row r="555" spans="1:5" x14ac:dyDescent="0.35">
      <c r="A555" t="s">
        <v>11</v>
      </c>
      <c r="B555" t="s">
        <v>3617</v>
      </c>
      <c r="C555" t="str">
        <f t="shared" si="8"/>
        <v>Analyst InquiryEngage with Gartner Analyst to develop the strategic roadmap for DevOps</v>
      </c>
      <c r="D555" t="s">
        <v>3618</v>
      </c>
      <c r="E555" t="s">
        <v>3619</v>
      </c>
    </row>
    <row r="556" spans="1:5" x14ac:dyDescent="0.35">
      <c r="A556" t="s">
        <v>11</v>
      </c>
      <c r="B556" t="s">
        <v>3625</v>
      </c>
      <c r="C556" t="str">
        <f t="shared" si="8"/>
        <v xml:space="preserve">Analyst InquiryEngage with analyst for vendor evaluation and contract negotiation </v>
      </c>
    </row>
    <row r="557" spans="1:5" x14ac:dyDescent="0.35">
      <c r="A557" t="s">
        <v>11</v>
      </c>
      <c r="B557" t="s">
        <v>3632</v>
      </c>
      <c r="C557" t="str">
        <f t="shared" si="8"/>
        <v>Analyst InquiryIdentify transformative leaders to head up DevOps efforts, develop their abilities</v>
      </c>
      <c r="D557" t="s">
        <v>3633</v>
      </c>
      <c r="E557" t="s">
        <v>3634</v>
      </c>
    </row>
    <row r="558" spans="1:5" x14ac:dyDescent="0.35">
      <c r="A558" t="s">
        <v>11</v>
      </c>
      <c r="B558" t="s">
        <v>3648</v>
      </c>
      <c r="C558" t="str">
        <f t="shared" si="8"/>
        <v>Analyst InquiryAnalyst to review draft of program Vision, Mission &amp; Objectives, key use cases and metrics</v>
      </c>
    </row>
    <row r="559" spans="1:5" x14ac:dyDescent="0.35">
      <c r="A559" t="s">
        <v>11</v>
      </c>
      <c r="B559" t="s">
        <v>3648</v>
      </c>
      <c r="C559" t="str">
        <f t="shared" si="8"/>
        <v>Analyst InquiryAnalyst to review draft of program Vision, Mission &amp; Objectives, key use cases and metrics</v>
      </c>
    </row>
    <row r="560" spans="1:5" x14ac:dyDescent="0.35">
      <c r="A560" t="s">
        <v>11</v>
      </c>
      <c r="B560" t="s">
        <v>3648</v>
      </c>
      <c r="C560" t="str">
        <f t="shared" si="8"/>
        <v>Analyst InquiryAnalyst to review draft of program Vision, Mission &amp; Objectives, key use cases and metrics</v>
      </c>
    </row>
    <row r="561" spans="1:3" x14ac:dyDescent="0.35">
      <c r="A561" t="s">
        <v>11</v>
      </c>
      <c r="B561" t="s">
        <v>3669</v>
      </c>
      <c r="C561" t="str">
        <f t="shared" si="8"/>
        <v>Analyst InquiryDiscuss market for Security Awareness Computer-Based Training and other solutions</v>
      </c>
    </row>
    <row r="562" spans="1:3" x14ac:dyDescent="0.35">
      <c r="A562" t="s">
        <v>11</v>
      </c>
      <c r="B562" t="s">
        <v>3676</v>
      </c>
      <c r="C562" t="str">
        <f t="shared" si="8"/>
        <v>Analyst InquiryReceive Gartner Analyst feedback on draft RFP for Security Awareness Computer-Based Training</v>
      </c>
    </row>
    <row r="563" spans="1:3" x14ac:dyDescent="0.35">
      <c r="A563" t="s">
        <v>11</v>
      </c>
      <c r="B563" t="s">
        <v>3677</v>
      </c>
      <c r="C563" t="str">
        <f t="shared" si="8"/>
        <v>Analyst InquiryReview short-list vendors and proposed contract from Security Awareness Computer-Based Training vendors. Assess pricing for potential cost savings</v>
      </c>
    </row>
    <row r="564" spans="1:3" x14ac:dyDescent="0.35">
      <c r="A564" t="s">
        <v>11</v>
      </c>
      <c r="B564" t="s">
        <v>3688</v>
      </c>
      <c r="C564" t="str">
        <f t="shared" si="8"/>
        <v>Analyst InquiryReview metrics and communication plan with Gartner Analyst to help finalize approach.</v>
      </c>
    </row>
    <row r="565" spans="1:3" x14ac:dyDescent="0.35">
      <c r="A565" t="s">
        <v>11</v>
      </c>
      <c r="B565" t="s">
        <v>3691</v>
      </c>
      <c r="C565" t="str">
        <f t="shared" si="8"/>
        <v>Analyst InquiryReview implementation plan, metrics and communciation plan and discuss potential challenges and solutions with Gartner Analyst</v>
      </c>
    </row>
    <row r="566" spans="1:3" x14ac:dyDescent="0.35">
      <c r="A566" t="s">
        <v>11</v>
      </c>
      <c r="B566" t="s">
        <v>3697</v>
      </c>
      <c r="C566" t="str">
        <f t="shared" si="8"/>
        <v>Analyst InquiryDiscuss status of program, metrics and opportunities for improvement with Gartner Analyst.  Review high risk groups including executives .</v>
      </c>
    </row>
    <row r="567" spans="1:3" x14ac:dyDescent="0.35">
      <c r="A567" t="s">
        <v>11</v>
      </c>
      <c r="B567" t="s">
        <v>3714</v>
      </c>
      <c r="C567" t="str">
        <f t="shared" si="8"/>
        <v>Analyst InquiryEngage with an analyst to articulate how to deliver business value through embedding best practice information management capabilities</v>
      </c>
    </row>
    <row r="568" spans="1:3" x14ac:dyDescent="0.35">
      <c r="A568" t="s">
        <v>11</v>
      </c>
      <c r="B568" t="s">
        <v>3719</v>
      </c>
      <c r="C568" t="str">
        <f t="shared" si="8"/>
        <v>Analyst InquiryCollaborate with an analyst on select technologies for MDM, information stewardship and governance</v>
      </c>
    </row>
    <row r="569" spans="1:3" x14ac:dyDescent="0.35">
      <c r="A569" t="s">
        <v>11</v>
      </c>
      <c r="B569" t="s">
        <v>3731</v>
      </c>
      <c r="C569" t="str">
        <f t="shared" si="8"/>
        <v>Analyst InquiryEngage with analyst on Gartner's three rings model to simplify records, documents and data classification</v>
      </c>
    </row>
    <row r="570" spans="1:3" x14ac:dyDescent="0.35">
      <c r="A570" t="s">
        <v>11</v>
      </c>
      <c r="B570" t="s">
        <v>3735</v>
      </c>
      <c r="C570" t="str">
        <f t="shared" si="8"/>
        <v>Analyst InquiryEngage with analyst on setting up effective data management governance practices</v>
      </c>
    </row>
    <row r="571" spans="1:3" x14ac:dyDescent="0.35">
      <c r="A571" t="s">
        <v>11</v>
      </c>
      <c r="B571" t="s">
        <v>3754</v>
      </c>
      <c r="C571" t="str">
        <f t="shared" si="8"/>
        <v>Analyst InquiryReceive feedback from Gartner Analyst on draft description of business strategy, external factors, technology roadmap and key areas of PAM</v>
      </c>
    </row>
    <row r="572" spans="1:3" x14ac:dyDescent="0.35">
      <c r="A572" t="s">
        <v>11</v>
      </c>
      <c r="B572" t="s">
        <v>3765</v>
      </c>
      <c r="C572" t="str">
        <f t="shared" si="8"/>
        <v>Analyst InquiryEngage with Gartner analyst for vendor selection, RFP creation and contract negotiation</v>
      </c>
    </row>
    <row r="573" spans="1:3" x14ac:dyDescent="0.35">
      <c r="A573" t="s">
        <v>11</v>
      </c>
      <c r="B573" t="s">
        <v>3779</v>
      </c>
      <c r="C573" t="str">
        <f t="shared" si="8"/>
        <v>Analyst InquiryPrepare for presentation of PAM strategy to executive leadership. Discuss audience, key messages, potential questions and approach to presentation</v>
      </c>
    </row>
    <row r="574" spans="1:3" x14ac:dyDescent="0.35">
      <c r="A574" t="s">
        <v>11</v>
      </c>
      <c r="B574" t="s">
        <v>3784</v>
      </c>
      <c r="C574" t="str">
        <f t="shared" si="8"/>
        <v>Analyst InquiryDiscuss balanced scorecards and effective methods of providing program effectiveness with analyst</v>
      </c>
    </row>
    <row r="575" spans="1:3" x14ac:dyDescent="0.35">
      <c r="A575" t="s">
        <v>11</v>
      </c>
      <c r="B575" t="s">
        <v>3788</v>
      </c>
      <c r="C575" t="str">
        <f t="shared" si="8"/>
        <v>Analyst InquiryEngage with analyst on organization structure under and above the office of the CDO for deploying a successful Data Organization</v>
      </c>
    </row>
    <row r="576" spans="1:3" x14ac:dyDescent="0.35">
      <c r="A576" t="s">
        <v>11</v>
      </c>
      <c r="B576" t="s">
        <v>3807</v>
      </c>
      <c r="C576" t="str">
        <f t="shared" si="8"/>
        <v>Analyst InquiryEngage with analyst on best practices for D&amp;A governance initiatives</v>
      </c>
    </row>
    <row r="577" spans="1:5" x14ac:dyDescent="0.35">
      <c r="A577" t="s">
        <v>11</v>
      </c>
      <c r="B577" t="s">
        <v>3827</v>
      </c>
      <c r="C577" t="str">
        <f t="shared" si="8"/>
        <v>Analyst InquiryEngage with analysts like Jack Santos to discuss how to start/restart Enterprise Architecture (EA), creating an EA plan how to keep EA and IT relevant</v>
      </c>
    </row>
    <row r="578" spans="1:5" x14ac:dyDescent="0.35">
      <c r="A578" t="s">
        <v>11</v>
      </c>
      <c r="B578" t="s">
        <v>3828</v>
      </c>
      <c r="C578" t="str">
        <f t="shared" si="8"/>
        <v>Analyst Inquiry: Discuss results of initial ITScore for Enterprise Architecture and Technology Innovation survey and approaches to address gaps</v>
      </c>
    </row>
    <row r="579" spans="1:5" x14ac:dyDescent="0.35">
      <c r="A579" t="s">
        <v>11</v>
      </c>
      <c r="B579" t="s">
        <v>3830</v>
      </c>
      <c r="C579" t="str">
        <f t="shared" ref="C579:C642" si="9">CONCATENATE(A579,B579)</f>
        <v>Analyst Inquiry:  Analyst briefings Engage with analysts like Mike J. Walker to get advice on emerging business and technology disruptions that EA must focus on, lea</v>
      </c>
    </row>
    <row r="580" spans="1:5" x14ac:dyDescent="0.35">
      <c r="A580" t="s">
        <v>11</v>
      </c>
      <c r="B580" t="s">
        <v>3836</v>
      </c>
      <c r="C580" t="str">
        <f t="shared" si="9"/>
        <v xml:space="preserve">Analyst InquiryEngage with analyst about the organizations current data management capability and ensure readiness for MDM </v>
      </c>
    </row>
    <row r="581" spans="1:5" x14ac:dyDescent="0.35">
      <c r="A581" t="s">
        <v>11</v>
      </c>
      <c r="B581" t="s">
        <v>3849</v>
      </c>
      <c r="C581" t="str">
        <f t="shared" si="9"/>
        <v>Analyst InquiryEngage analyst to design the roadmap for implementing MDM strategy</v>
      </c>
    </row>
    <row r="582" spans="1:5" x14ac:dyDescent="0.35">
      <c r="A582" t="s">
        <v>11</v>
      </c>
      <c r="B582" t="s">
        <v>3862</v>
      </c>
      <c r="C582" t="str">
        <f t="shared" si="9"/>
        <v xml:space="preserve">Analyst InquiryLeverage analyst to analyze the critical steps in MDM strategy and determine how to use analytics to improve efficiency </v>
      </c>
    </row>
    <row r="583" spans="1:5" x14ac:dyDescent="0.35">
      <c r="A583" t="s">
        <v>11</v>
      </c>
      <c r="B583" t="s">
        <v>3875</v>
      </c>
      <c r="C583" t="str">
        <f t="shared" si="9"/>
        <v>Analyst InquiryEngage analyst to evaluate the impact on MDM strategy on business outcome</v>
      </c>
    </row>
    <row r="584" spans="1:5" x14ac:dyDescent="0.35">
      <c r="A584" t="s">
        <v>11</v>
      </c>
      <c r="B584" t="s">
        <v>3884</v>
      </c>
      <c r="C584" t="str">
        <f t="shared" si="9"/>
        <v>Analyst InquiryEngage with analyst about the organizations current capability and ensure readiness for postmodern ERP transformation</v>
      </c>
    </row>
    <row r="585" spans="1:5" x14ac:dyDescent="0.35">
      <c r="A585" t="s">
        <v>11</v>
      </c>
      <c r="B585" t="s">
        <v>3893</v>
      </c>
      <c r="C585" t="str">
        <f t="shared" si="9"/>
        <v>Analyst InquiryEngage analyst to design the roadmap for implementing postmodern ERP strategy</v>
      </c>
    </row>
    <row r="586" spans="1:5" x14ac:dyDescent="0.35">
      <c r="A586" t="s">
        <v>11</v>
      </c>
      <c r="B586" t="s">
        <v>3904</v>
      </c>
      <c r="C586" t="str">
        <f t="shared" si="9"/>
        <v xml:space="preserve">Analyst InquiryEngage with analyst to identify critical steps, ensure successful implementation of postmodern ERP strategy and identify any gaps to improve </v>
      </c>
    </row>
    <row r="587" spans="1:5" x14ac:dyDescent="0.35">
      <c r="A587" t="s">
        <v>11</v>
      </c>
      <c r="B587" t="s">
        <v>3916</v>
      </c>
      <c r="C587" t="str">
        <f t="shared" si="9"/>
        <v>Analyst InquiryEngage with analyst to assess the impact of postmodern ERP execution and to improve its performance</v>
      </c>
      <c r="D587" t="s">
        <v>3917</v>
      </c>
      <c r="E587" t="s">
        <v>3918</v>
      </c>
    </row>
    <row r="588" spans="1:5" x14ac:dyDescent="0.35">
      <c r="A588" t="s">
        <v>11</v>
      </c>
      <c r="B588" t="s">
        <v>3933</v>
      </c>
      <c r="C588" t="str">
        <f t="shared" si="9"/>
        <v xml:space="preserve">Analyst InquiryDiscuss how EA can help shape and drive digital strategies including how to ‘intercept’ with existing/large delivery programs  </v>
      </c>
    </row>
    <row r="589" spans="1:5" x14ac:dyDescent="0.35">
      <c r="A589" t="s">
        <v>11</v>
      </c>
      <c r="B589" t="s">
        <v>3950</v>
      </c>
      <c r="C589" t="str">
        <f t="shared" si="9"/>
        <v xml:space="preserve">Analyst InquiryEngage with Gartner Analyst to review proposed charter/ role definitions </v>
      </c>
    </row>
    <row r="590" spans="1:5" x14ac:dyDescent="0.35">
      <c r="A590" t="s">
        <v>11</v>
      </c>
      <c r="B590" t="s">
        <v>3964</v>
      </c>
      <c r="C590" t="str">
        <f t="shared" si="9"/>
        <v>Analyst InquiryLeverage analyst to assess your current capability and ensure readiness for cloud migration</v>
      </c>
    </row>
    <row r="591" spans="1:5" x14ac:dyDescent="0.35">
      <c r="A591" t="s">
        <v>11</v>
      </c>
      <c r="B591" t="s">
        <v>3973</v>
      </c>
      <c r="C591" t="str">
        <f t="shared" si="9"/>
        <v>Analyst InquiryLeverage analyst to identify successful components to plan and formulate the roadmap for cloud migration</v>
      </c>
    </row>
    <row r="592" spans="1:5" x14ac:dyDescent="0.35">
      <c r="A592" t="s">
        <v>11</v>
      </c>
      <c r="B592" t="s">
        <v>3985</v>
      </c>
      <c r="C592" t="str">
        <f t="shared" si="9"/>
        <v>Analyst InquiryLeverage analyst to analyze the critical steps in cloud migration strategy</v>
      </c>
    </row>
    <row r="593" spans="1:3" x14ac:dyDescent="0.35">
      <c r="A593" t="s">
        <v>11</v>
      </c>
      <c r="B593" t="s">
        <v>3997</v>
      </c>
      <c r="C593" t="str">
        <f t="shared" si="9"/>
        <v>Analyst InquiryEngage analyst to evaluate the impact on cloud migration strategy on business outcome</v>
      </c>
    </row>
    <row r="594" spans="1:3" x14ac:dyDescent="0.35">
      <c r="A594" t="s">
        <v>11</v>
      </c>
      <c r="B594" t="s">
        <v>4007</v>
      </c>
      <c r="C594" t="str">
        <f t="shared" si="9"/>
        <v>Analyst InquiryEngage with analyst on enterprise data integration as well as supporting data science efforts</v>
      </c>
    </row>
    <row r="595" spans="1:3" x14ac:dyDescent="0.35">
      <c r="A595" t="s">
        <v>11</v>
      </c>
      <c r="B595" t="s">
        <v>4029</v>
      </c>
      <c r="C595" t="str">
        <f t="shared" si="9"/>
        <v>Analyst InquiryCollaborate with analyst for trends on integration platform as a service and hybrid integration platform models on data and application integration</v>
      </c>
    </row>
    <row r="596" spans="1:3" x14ac:dyDescent="0.35">
      <c r="A596" t="s">
        <v>11</v>
      </c>
      <c r="B596" t="s">
        <v>4047</v>
      </c>
      <c r="C596" t="str">
        <f t="shared" si="9"/>
        <v xml:space="preserve">Analyst InquiryLeverage analyst to discuss strategy, governance and effective communications </v>
      </c>
    </row>
    <row r="597" spans="1:3" x14ac:dyDescent="0.35">
      <c r="A597" t="s">
        <v>11</v>
      </c>
      <c r="B597" t="s">
        <v>4054</v>
      </c>
      <c r="C597" t="str">
        <f t="shared" si="9"/>
        <v>Analyst InquiryEngage analyst to design the roadmap for implementing governance strategy in digital era</v>
      </c>
    </row>
    <row r="598" spans="1:3" x14ac:dyDescent="0.35">
      <c r="A598" t="s">
        <v>11</v>
      </c>
      <c r="B598" t="s">
        <v>4070</v>
      </c>
      <c r="C598" t="str">
        <f t="shared" si="9"/>
        <v>Analyst InquiryEngage analyst to evaluate the impact on governance strategy on business outcome</v>
      </c>
    </row>
    <row r="599" spans="1:3" x14ac:dyDescent="0.35">
      <c r="A599" t="s">
        <v>11</v>
      </c>
      <c r="B599" t="s">
        <v>4079</v>
      </c>
      <c r="C599" t="str">
        <f t="shared" si="9"/>
        <v>Analyst InquiryEngage with analyst on discussing a roadmap for enterprise data architecture strategies</v>
      </c>
    </row>
    <row r="600" spans="1:3" x14ac:dyDescent="0.35">
      <c r="A600" t="s">
        <v>11</v>
      </c>
      <c r="B600" t="s">
        <v>4084</v>
      </c>
      <c r="C600" t="str">
        <f t="shared" si="9"/>
        <v>Analyst InquiryEngage with analyst on best practices for designing good data architecture</v>
      </c>
    </row>
    <row r="601" spans="1:3" x14ac:dyDescent="0.35">
      <c r="A601" t="s">
        <v>11</v>
      </c>
      <c r="B601" t="s">
        <v>4096</v>
      </c>
      <c r="C601" t="str">
        <f t="shared" si="9"/>
        <v>Analyst InquiryEngage with analyst on the future technical architecture of data and analytics</v>
      </c>
    </row>
    <row r="602" spans="1:3" x14ac:dyDescent="0.35">
      <c r="A602" t="s">
        <v>11</v>
      </c>
      <c r="B602" t="s">
        <v>4101</v>
      </c>
      <c r="C602" t="str">
        <f t="shared" si="9"/>
        <v>Analyst InquiryEngage with analyst on the timelines for redesigning data architectures</v>
      </c>
    </row>
    <row r="603" spans="1:3" x14ac:dyDescent="0.35">
      <c r="A603" t="s">
        <v>11</v>
      </c>
      <c r="B603" t="s">
        <v>4118</v>
      </c>
      <c r="C603" t="str">
        <f t="shared" si="9"/>
        <v>Analyst InquiryEngage with analyst to gain insights on modern BI platforms and assess current platform</v>
      </c>
    </row>
    <row r="604" spans="1:3" x14ac:dyDescent="0.35">
      <c r="A604" t="s">
        <v>11</v>
      </c>
      <c r="B604" t="s">
        <v>4139</v>
      </c>
      <c r="C604" t="str">
        <f t="shared" si="9"/>
        <v>Analyst InquiryConsultation on accelerating the speed of business change, new approach to strategy - one that integrates business models and technology</v>
      </c>
    </row>
    <row r="605" spans="1:3" x14ac:dyDescent="0.35">
      <c r="A605" t="s">
        <v>11</v>
      </c>
      <c r="B605" t="s">
        <v>4156</v>
      </c>
      <c r="C605" t="str">
        <f t="shared" si="9"/>
        <v>Analyst InquiryLeverage analyst for insight on key focus areas.  Obtain best-practices for strategy, trends, cloud alternatives, and managed services</v>
      </c>
    </row>
    <row r="606" spans="1:3" x14ac:dyDescent="0.35">
      <c r="A606" t="s">
        <v>11</v>
      </c>
      <c r="B606" t="s">
        <v>4166</v>
      </c>
      <c r="C606" t="str">
        <f t="shared" si="9"/>
        <v xml:space="preserve">Analyst InquiryConsult analyst for input on enterprise data  center strategies &amp; trends,  physical design (cloud &amp; hybrid) </v>
      </c>
    </row>
    <row r="607" spans="1:3" x14ac:dyDescent="0.35">
      <c r="A607" t="s">
        <v>11</v>
      </c>
      <c r="B607" t="s">
        <v>4177</v>
      </c>
      <c r="C607" t="str">
        <f t="shared" si="9"/>
        <v xml:space="preserve">Analyst InquiryOn emerging trends for DC architecture &amp; modernization, and consideration of on-prem versus cloud solutions </v>
      </c>
    </row>
    <row r="608" spans="1:3" x14ac:dyDescent="0.35">
      <c r="A608" t="s">
        <v>11</v>
      </c>
      <c r="B608" t="s">
        <v>4184</v>
      </c>
      <c r="C608" t="str">
        <f t="shared" si="9"/>
        <v>Analyst InquiryEngage analyst to evaluate the impact of data center migration strategy on business outcome</v>
      </c>
    </row>
    <row r="609" spans="1:3" x14ac:dyDescent="0.35">
      <c r="A609" t="s">
        <v>3491</v>
      </c>
      <c r="B609" t="s">
        <v>3492</v>
      </c>
      <c r="C609" t="str">
        <f t="shared" si="9"/>
        <v xml:space="preserve">CallLP call to draft an action plan, and agree on engagements steps. Establish cadence, timeframes and critical outcome success factors </v>
      </c>
    </row>
    <row r="610" spans="1:3" x14ac:dyDescent="0.35">
      <c r="A610" t="s">
        <v>3245</v>
      </c>
      <c r="B610" t="s">
        <v>3246</v>
      </c>
      <c r="C610" t="str">
        <f t="shared" si="9"/>
        <v>Call - Review and PlanReview the entire engagement, understand future state and critical priorities</v>
      </c>
    </row>
    <row r="611" spans="1:3" x14ac:dyDescent="0.35">
      <c r="A611" t="s">
        <v>3245</v>
      </c>
      <c r="B611" t="s">
        <v>3159</v>
      </c>
      <c r="C611" t="str">
        <f t="shared" si="9"/>
        <v>Call - Review and PlanReview the entire engagement and address future state and other critical priorities</v>
      </c>
    </row>
    <row r="612" spans="1:3" x14ac:dyDescent="0.35">
      <c r="A612" t="s">
        <v>3245</v>
      </c>
      <c r="B612" t="s">
        <v>3453</v>
      </c>
      <c r="C612" t="str">
        <f t="shared" si="9"/>
        <v>Call - Review and PlanLP call to review and plan for next steps</v>
      </c>
    </row>
    <row r="613" spans="1:3" x14ac:dyDescent="0.35">
      <c r="A613" t="s">
        <v>3245</v>
      </c>
      <c r="B613" t="s">
        <v>3453</v>
      </c>
      <c r="C613" t="str">
        <f t="shared" si="9"/>
        <v>Call - Review and PlanLP call to review and plan for next steps</v>
      </c>
    </row>
    <row r="614" spans="1:3" x14ac:dyDescent="0.35">
      <c r="A614" t="s">
        <v>3245</v>
      </c>
      <c r="B614" t="s">
        <v>3159</v>
      </c>
      <c r="C614" t="str">
        <f t="shared" si="9"/>
        <v>Call - Review and PlanReview the entire engagement and address future state and other critical priorities</v>
      </c>
    </row>
    <row r="615" spans="1:3" x14ac:dyDescent="0.35">
      <c r="A615" t="s">
        <v>3245</v>
      </c>
      <c r="B615" t="s">
        <v>3453</v>
      </c>
      <c r="C615" t="str">
        <f t="shared" si="9"/>
        <v>Call - Review and PlanLP call to review and plan for next steps</v>
      </c>
    </row>
    <row r="616" spans="1:3" x14ac:dyDescent="0.35">
      <c r="A616" t="s">
        <v>3245</v>
      </c>
      <c r="B616" t="s">
        <v>3159</v>
      </c>
      <c r="C616" t="str">
        <f t="shared" si="9"/>
        <v>Call - Review and PlanReview the entire engagement and address future state and other critical priorities</v>
      </c>
    </row>
    <row r="617" spans="1:3" x14ac:dyDescent="0.35">
      <c r="A617" t="s">
        <v>3245</v>
      </c>
      <c r="B617" t="s">
        <v>3746</v>
      </c>
      <c r="C617" t="str">
        <f t="shared" si="9"/>
        <v>Call - Review and PlanLP call to discuss progress and plan for next steps</v>
      </c>
    </row>
    <row r="618" spans="1:3" x14ac:dyDescent="0.35">
      <c r="A618" t="s">
        <v>3245</v>
      </c>
      <c r="B618" t="s">
        <v>3159</v>
      </c>
      <c r="C618" t="str">
        <f t="shared" si="9"/>
        <v>Call - Review and PlanReview the entire engagement and address future state and other critical priorities</v>
      </c>
    </row>
    <row r="619" spans="1:3" x14ac:dyDescent="0.35">
      <c r="A619" t="s">
        <v>3245</v>
      </c>
      <c r="B619" t="s">
        <v>3825</v>
      </c>
      <c r="C619" t="str">
        <f t="shared" si="9"/>
        <v>Call - Review and PlanLP call to discuss and plan for next steps</v>
      </c>
    </row>
    <row r="620" spans="1:3" x14ac:dyDescent="0.35">
      <c r="A620" t="s">
        <v>3245</v>
      </c>
      <c r="B620" t="s">
        <v>3159</v>
      </c>
      <c r="C620" t="str">
        <f t="shared" si="9"/>
        <v>Call - Review and PlanReview the entire engagement and address future state and other critical priorities</v>
      </c>
    </row>
    <row r="621" spans="1:3" x14ac:dyDescent="0.35">
      <c r="A621" t="s">
        <v>3245</v>
      </c>
      <c r="B621" t="s">
        <v>3746</v>
      </c>
      <c r="C621" t="str">
        <f t="shared" si="9"/>
        <v>Call - Review and PlanLP call to discuss progress and plan for next steps</v>
      </c>
    </row>
    <row r="622" spans="1:3" x14ac:dyDescent="0.35">
      <c r="A622" t="s">
        <v>3245</v>
      </c>
      <c r="B622" t="s">
        <v>3159</v>
      </c>
      <c r="C622" t="str">
        <f t="shared" si="9"/>
        <v>Call - Review and PlanReview the entire engagement and address future state and other critical priorities</v>
      </c>
    </row>
    <row r="623" spans="1:3" x14ac:dyDescent="0.35">
      <c r="A623" t="s">
        <v>3245</v>
      </c>
      <c r="B623" t="s">
        <v>3825</v>
      </c>
      <c r="C623" t="str">
        <f t="shared" si="9"/>
        <v>Call - Review and PlanLP call to discuss and plan for next steps</v>
      </c>
    </row>
    <row r="624" spans="1:3" x14ac:dyDescent="0.35">
      <c r="A624" t="s">
        <v>4112</v>
      </c>
      <c r="B624" t="s">
        <v>4113</v>
      </c>
      <c r="C624" t="str">
        <f t="shared" si="9"/>
        <v>Check-In at 90Check-in at 90</v>
      </c>
    </row>
    <row r="625" spans="1:5" x14ac:dyDescent="0.35">
      <c r="A625" t="s">
        <v>16</v>
      </c>
      <c r="B625" t="s">
        <v>870</v>
      </c>
      <c r="C625" t="str">
        <f t="shared" si="9"/>
        <v>CIO Leadership ForumNetwork with CIOs, listen to thought-leading presentations, meet analysts’ 1:1 for advice.</v>
      </c>
    </row>
    <row r="626" spans="1:5" x14ac:dyDescent="0.35">
      <c r="A626" t="s">
        <v>16</v>
      </c>
      <c r="B626" t="s">
        <v>2382</v>
      </c>
      <c r="C626" t="str">
        <f t="shared" si="9"/>
        <v>CIO Leadership ForumSet reminders to register for CIO Forum and Symposium events. Plan to attend strategy focused sessions.</v>
      </c>
    </row>
    <row r="627" spans="1:5" x14ac:dyDescent="0.35">
      <c r="A627" t="s">
        <v>19</v>
      </c>
      <c r="B627" t="s">
        <v>1855</v>
      </c>
      <c r="C627" t="str">
        <f t="shared" si="9"/>
        <v>Consultation - EmailMeet with new CIO to build First 100 Day Plan to help get up to speed quickly and make an impact.</v>
      </c>
      <c r="D627" t="s">
        <v>1856</v>
      </c>
      <c r="E627" t="s">
        <v>1857</v>
      </c>
    </row>
    <row r="628" spans="1:5" x14ac:dyDescent="0.35">
      <c r="A628" t="s">
        <v>19</v>
      </c>
      <c r="B628" t="s">
        <v>1476</v>
      </c>
      <c r="C628" t="str">
        <f t="shared" si="9"/>
        <v>Consultation - EmailRead foundational research. Read first:</v>
      </c>
      <c r="D628" t="s">
        <v>1856</v>
      </c>
      <c r="E628" t="s">
        <v>1857</v>
      </c>
    </row>
    <row r="629" spans="1:5" x14ac:dyDescent="0.35">
      <c r="A629" t="s">
        <v>19</v>
      </c>
      <c r="B629" t="s">
        <v>2335</v>
      </c>
      <c r="C629" t="str">
        <f t="shared" si="9"/>
        <v xml:space="preserve">Consultation - EmailInstructions for delegation of the 14 ITScore diagnostic assessments to the accountable members of your team, who complete them independently online.
</v>
      </c>
      <c r="D629" t="s">
        <v>898</v>
      </c>
      <c r="E629" t="s">
        <v>873</v>
      </c>
    </row>
    <row r="630" spans="1:5" x14ac:dyDescent="0.35">
      <c r="A630" t="s">
        <v>19</v>
      </c>
      <c r="B630" t="s">
        <v>3268</v>
      </c>
      <c r="C630" t="str">
        <f t="shared" si="9"/>
        <v>Consultation - EmailDevelop a three- five year outlook and guidelines to advance this discipline and achieve business goals</v>
      </c>
      <c r="D630" t="s">
        <v>3269</v>
      </c>
      <c r="E630" t="s">
        <v>3269</v>
      </c>
    </row>
    <row r="631" spans="1:5" x14ac:dyDescent="0.35">
      <c r="A631" t="s">
        <v>19</v>
      </c>
      <c r="B631" t="s">
        <v>3528</v>
      </c>
      <c r="C631" t="str">
        <f t="shared" si="9"/>
        <v>Consultation - EmailConsult with LP and use this research to determine the next step in modernizing your application</v>
      </c>
      <c r="D631" t="s">
        <v>3529</v>
      </c>
      <c r="E631" t="s">
        <v>3530</v>
      </c>
    </row>
    <row r="632" spans="1:5" x14ac:dyDescent="0.35">
      <c r="A632" t="s">
        <v>20</v>
      </c>
      <c r="B632" t="s">
        <v>2304</v>
      </c>
      <c r="C632" t="str">
        <f t="shared" si="9"/>
        <v>Consultation - OnsiteMeet with Executive Partner to share existing organization model, discuss options and outline an engagement plan to determine optimal structure.</v>
      </c>
    </row>
    <row r="633" spans="1:5" x14ac:dyDescent="0.35">
      <c r="A633" t="s">
        <v>20</v>
      </c>
      <c r="B633" t="s">
        <v>2316</v>
      </c>
      <c r="C633" t="str">
        <f t="shared" si="9"/>
        <v>Consultation - OnsiteDiscuss vision and goals for digital. Is the ambition to optimize the existing business or to transform the business through digital?</v>
      </c>
      <c r="D633" t="s">
        <v>1621</v>
      </c>
      <c r="E633" t="s">
        <v>1322</v>
      </c>
    </row>
    <row r="634" spans="1:5" x14ac:dyDescent="0.35">
      <c r="A634" t="s">
        <v>20</v>
      </c>
      <c r="B634" t="s">
        <v>2364</v>
      </c>
      <c r="C634" t="str">
        <f t="shared" si="9"/>
        <v>Consultation - OnsiteConduct strategy kick off session with Executive Partner and review Gartner's strategy tools and templates. Review example strategy documents.</v>
      </c>
      <c r="D634" t="s">
        <v>2365</v>
      </c>
      <c r="E634" t="s">
        <v>453</v>
      </c>
    </row>
    <row r="635" spans="1:5" x14ac:dyDescent="0.35">
      <c r="A635" t="s">
        <v>20</v>
      </c>
      <c r="B635" t="s">
        <v>2387</v>
      </c>
      <c r="C635" t="str">
        <f t="shared" si="9"/>
        <v xml:space="preserve">Consultation - OnsiteWorking session to discuss current state and future state vision – complete the Operating Model questionnaire (go to figure 9 in the research note):  </v>
      </c>
      <c r="D635" t="s">
        <v>417</v>
      </c>
      <c r="E635" t="s">
        <v>420</v>
      </c>
    </row>
    <row r="636" spans="1:5" x14ac:dyDescent="0.35">
      <c r="A636" t="s">
        <v>20</v>
      </c>
      <c r="B636" t="s">
        <v>2402</v>
      </c>
      <c r="C636" t="str">
        <f t="shared" si="9"/>
        <v>Consultation - OnsiteKick off discussion. Clarify your innovation objectives by completing the innovation goals questionnaire in the research note below (see Appendix 1).</v>
      </c>
      <c r="D636" t="s">
        <v>2403</v>
      </c>
      <c r="E636" t="s">
        <v>609</v>
      </c>
    </row>
    <row r="637" spans="1:5" x14ac:dyDescent="0.35">
      <c r="A637" t="s">
        <v>20</v>
      </c>
      <c r="B637" t="s">
        <v>1077</v>
      </c>
      <c r="C637" t="str">
        <f t="shared" si="9"/>
        <v>Consultation - OnsiteReview current governance processes. Discuss the issues driving the need for change. Create/update your governance charter.</v>
      </c>
      <c r="D637" t="s">
        <v>1078</v>
      </c>
      <c r="E637" t="s">
        <v>1079</v>
      </c>
    </row>
    <row r="638" spans="1:5" x14ac:dyDescent="0.35">
      <c r="A638" t="s">
        <v>20</v>
      </c>
      <c r="B638" t="s">
        <v>2450</v>
      </c>
      <c r="C638" t="str">
        <f t="shared" si="9"/>
        <v xml:space="preserve">Consultation - OnsiteReview and assess the current state of data strategy and management in the organization. Discuss visions, goals and next steps.
</v>
      </c>
    </row>
    <row r="639" spans="1:5" x14ac:dyDescent="0.35">
      <c r="A639" t="s">
        <v>20</v>
      </c>
      <c r="B639" t="s">
        <v>2469</v>
      </c>
      <c r="C639" t="str">
        <f t="shared" si="9"/>
        <v xml:space="preserve">Consultation - OnsiteReview progress and chart out the communication approach of the Data Strategy Roadmap to business stakeholders.    </v>
      </c>
    </row>
    <row r="640" spans="1:5" x14ac:dyDescent="0.35">
      <c r="A640" t="s">
        <v>20</v>
      </c>
      <c r="B640" t="s">
        <v>2476</v>
      </c>
      <c r="C640" t="str">
        <f t="shared" si="9"/>
        <v xml:space="preserve">Consultation - OnsiteReview &amp; assess current state of cloud strategy in the organization. Discuss visions, goals &amp; next steps. Answer the questions posed by the research:
</v>
      </c>
      <c r="D640" t="s">
        <v>2477</v>
      </c>
      <c r="E640" t="s">
        <v>2478</v>
      </c>
    </row>
    <row r="641" spans="1:5" x14ac:dyDescent="0.35">
      <c r="A641" t="s">
        <v>20</v>
      </c>
      <c r="B641" t="s">
        <v>2528</v>
      </c>
      <c r="C641" t="str">
        <f t="shared" si="9"/>
        <v>Consultation - OnsiteDiscuss goals for AI and approaches to creating an AI strategy. Review EXP report with Executive Partner. Create a roadmap of next steps.</v>
      </c>
      <c r="D641" t="s">
        <v>2529</v>
      </c>
      <c r="E641" t="s">
        <v>364</v>
      </c>
    </row>
    <row r="642" spans="1:5" x14ac:dyDescent="0.35">
      <c r="A642" t="s">
        <v>20</v>
      </c>
      <c r="B642" t="s">
        <v>2560</v>
      </c>
      <c r="C642" t="str">
        <f t="shared" si="9"/>
        <v xml:space="preserve">Consultation - OnsiteReview progress and articulation of the AI Roadmap to business stakeholders.  
</v>
      </c>
    </row>
    <row r="643" spans="1:5" x14ac:dyDescent="0.35">
      <c r="A643" t="s">
        <v>20</v>
      </c>
      <c r="B643" t="s">
        <v>2562</v>
      </c>
      <c r="C643" t="str">
        <f t="shared" ref="C643:C706" si="10">CONCATENATE(A643,B643)</f>
        <v xml:space="preserve">Consultation - OnsiteDiscuss current Information Security strategy and complete the maturity assessment to assess your exposure to critical risks. </v>
      </c>
      <c r="D643" t="s">
        <v>990</v>
      </c>
      <c r="E643" t="s">
        <v>991</v>
      </c>
    </row>
    <row r="644" spans="1:5" x14ac:dyDescent="0.35">
      <c r="A644" t="s">
        <v>20</v>
      </c>
      <c r="B644" t="s">
        <v>2578</v>
      </c>
      <c r="C644" t="str">
        <f t="shared" si="10"/>
        <v>Consultation - OnsiteWorking session to discuss current state and future state goals of IT business alignment with your executive partner.</v>
      </c>
    </row>
    <row r="645" spans="1:5" x14ac:dyDescent="0.35">
      <c r="A645" t="s">
        <v>20</v>
      </c>
      <c r="B645" t="s">
        <v>2594</v>
      </c>
      <c r="C645" t="str">
        <f t="shared" si="10"/>
        <v xml:space="preserve">Consultation - OnsiteDiscuss goals for DevOps and Agile and approaches to craft a strategy. Review EXP report with Executive Partner. Create a roadmap of next steps. 
</v>
      </c>
      <c r="D645" t="s">
        <v>2595</v>
      </c>
      <c r="E645" t="s">
        <v>1899</v>
      </c>
    </row>
    <row r="646" spans="1:5" x14ac:dyDescent="0.35">
      <c r="A646" t="s">
        <v>20</v>
      </c>
      <c r="B646" t="s">
        <v>2615</v>
      </c>
      <c r="C646" t="str">
        <f t="shared" si="10"/>
        <v>Consultation - OnsiteMeet with your Executive Partner to identify key challenges. Map out a set of activities designed to build leadership capability and address gaps.</v>
      </c>
    </row>
    <row r="647" spans="1:5" x14ac:dyDescent="0.35">
      <c r="A647" t="s">
        <v>20</v>
      </c>
      <c r="B647" t="s">
        <v>2632</v>
      </c>
      <c r="C647" t="str">
        <f t="shared" si="10"/>
        <v>Consultation - OnsiteIntroductory call with Executive Partner - How to leverage Gartner throughout the M&amp;A Process.</v>
      </c>
      <c r="D647" t="s">
        <v>572</v>
      </c>
      <c r="E647" t="s">
        <v>2633</v>
      </c>
    </row>
    <row r="648" spans="1:5" x14ac:dyDescent="0.35">
      <c r="A648" t="s">
        <v>20</v>
      </c>
      <c r="B648" t="s">
        <v>2651</v>
      </c>
      <c r="C648" t="str">
        <f t="shared" si="10"/>
        <v>Consultation - OnsiteWalk through Gartner's ITScore assessment tool that can be used to  identify the current state of Vendor Management maturity.</v>
      </c>
      <c r="D648" t="s">
        <v>2652</v>
      </c>
      <c r="E648" t="s">
        <v>1282</v>
      </c>
    </row>
    <row r="649" spans="1:5" x14ac:dyDescent="0.35">
      <c r="A649" t="s">
        <v>20</v>
      </c>
      <c r="B649" t="s">
        <v>2669</v>
      </c>
      <c r="C649" t="str">
        <f t="shared" si="10"/>
        <v xml:space="preserve">Consultation - OnsiteWorking session to discuss current state and future state vision for ERP. Review EXP report with Executive Partner. Create a roadmap of next steps. 
</v>
      </c>
      <c r="D649" t="s">
        <v>2670</v>
      </c>
      <c r="E649" t="s">
        <v>740</v>
      </c>
    </row>
    <row r="650" spans="1:5" x14ac:dyDescent="0.35">
      <c r="A650" t="s">
        <v>20</v>
      </c>
      <c r="B650" t="s">
        <v>2683</v>
      </c>
      <c r="C650" t="str">
        <f t="shared" si="10"/>
        <v xml:space="preserve">Consultation - OnsiteDiscuss goals for Leadership. Review EXP report and create a roadmap of next steps. 
</v>
      </c>
      <c r="D650" t="s">
        <v>805</v>
      </c>
      <c r="E650" t="s">
        <v>806</v>
      </c>
    </row>
    <row r="651" spans="1:5" x14ac:dyDescent="0.35">
      <c r="A651" t="s">
        <v>20</v>
      </c>
      <c r="B651" t="s">
        <v>2703</v>
      </c>
      <c r="C651" t="str">
        <f t="shared" si="10"/>
        <v>Consultation - OnsiteLeverage CIO's first 100 days toolkit for a quick assessment of the different aspects of the CIO role &amp; identify areas requiring immediate focus.</v>
      </c>
      <c r="D651" t="s">
        <v>1856</v>
      </c>
      <c r="E651" t="s">
        <v>1857</v>
      </c>
    </row>
    <row r="652" spans="1:5" x14ac:dyDescent="0.35">
      <c r="A652" t="s">
        <v>20</v>
      </c>
      <c r="B652" t="s">
        <v>2717</v>
      </c>
      <c r="C652" t="str">
        <f t="shared" si="10"/>
        <v>Consultation - OnsiteDiscuss current state. Use Gartner's maturity model to improve the customer experience via a systematic process to improve CSAT loyalty and advocacy.</v>
      </c>
      <c r="D652" t="s">
        <v>2718</v>
      </c>
      <c r="E652" t="s">
        <v>695</v>
      </c>
    </row>
    <row r="653" spans="1:5" x14ac:dyDescent="0.35">
      <c r="A653" t="s">
        <v>20</v>
      </c>
      <c r="B653" t="s">
        <v>2739</v>
      </c>
      <c r="C653" t="str">
        <f t="shared" si="10"/>
        <v>Consultation - OnsiteDiscuss current situation. Strategize next steps for developing an enterprise change capability that will scale for the future.</v>
      </c>
      <c r="D653" t="s">
        <v>814</v>
      </c>
      <c r="E653" t="s">
        <v>2740</v>
      </c>
    </row>
    <row r="654" spans="1:5" x14ac:dyDescent="0.35">
      <c r="A654" t="s">
        <v>20</v>
      </c>
      <c r="B654" t="s">
        <v>2758</v>
      </c>
      <c r="C654" t="str">
        <f t="shared" si="10"/>
        <v xml:space="preserve">Consultation - OnsiteReview available Gartner resources to support an Application Rationalization exercise. Plan an initial application fitness and value assessment. 
</v>
      </c>
      <c r="D654" t="s">
        <v>2759</v>
      </c>
      <c r="E654" t="s">
        <v>2760</v>
      </c>
    </row>
    <row r="655" spans="1:5" x14ac:dyDescent="0.35">
      <c r="A655" t="s">
        <v>20</v>
      </c>
      <c r="B655" t="s">
        <v>2773</v>
      </c>
      <c r="C655" t="str">
        <f t="shared" si="10"/>
        <v>Consultation - OnsiteDiscuss foundational research to build a world-class EA capability an make your EA program highly impactful.</v>
      </c>
      <c r="D655" t="s">
        <v>1561</v>
      </c>
      <c r="E655" t="s">
        <v>1562</v>
      </c>
    </row>
    <row r="656" spans="1:5" x14ac:dyDescent="0.35">
      <c r="A656" t="s">
        <v>20</v>
      </c>
      <c r="B656" t="s">
        <v>2796</v>
      </c>
      <c r="C656" t="str">
        <f t="shared" si="10"/>
        <v>Consultation - OnsiteAssisted by our Executive Partner, assess your overall Data and Analytics capability maturity by Using Gartner's ITScore for Data and Analytics.</v>
      </c>
      <c r="D656" t="s">
        <v>85</v>
      </c>
      <c r="E656" t="s">
        <v>88</v>
      </c>
    </row>
    <row r="657" spans="1:5" x14ac:dyDescent="0.35">
      <c r="A657" t="s">
        <v>20</v>
      </c>
      <c r="B657" t="s">
        <v>2804</v>
      </c>
      <c r="C657" t="str">
        <f t="shared" si="10"/>
        <v xml:space="preserve">Consultation - OnsiteDiscuss the most optimal organizational model for Analytics and BI roadmap execution. </v>
      </c>
      <c r="D657" t="s">
        <v>2805</v>
      </c>
      <c r="E657" t="s">
        <v>2806</v>
      </c>
    </row>
    <row r="658" spans="1:5" x14ac:dyDescent="0.35">
      <c r="A658" t="s">
        <v>20</v>
      </c>
      <c r="B658" t="s">
        <v>2821</v>
      </c>
      <c r="C658" t="str">
        <f t="shared" si="10"/>
        <v>Consultation - OnsiteSession to create concrete, measurable metrics that link analytics and BI initiatives to information, business and stakeholder value.</v>
      </c>
      <c r="D658" t="s">
        <v>2822</v>
      </c>
      <c r="E658" t="s">
        <v>343</v>
      </c>
    </row>
    <row r="659" spans="1:5" x14ac:dyDescent="0.35">
      <c r="A659" t="s">
        <v>20</v>
      </c>
      <c r="B659" t="s">
        <v>2823</v>
      </c>
      <c r="C659" t="str">
        <f t="shared" si="10"/>
        <v>Consultation - OnsiteAssisted by your Executive Partner, assess your overall Data and Analytics capability maturity by Using Gartner's ITScore for Data and Analytics.</v>
      </c>
      <c r="D659" t="s">
        <v>85</v>
      </c>
      <c r="E659" t="s">
        <v>88</v>
      </c>
    </row>
    <row r="660" spans="1:5" x14ac:dyDescent="0.35">
      <c r="A660" t="s">
        <v>20</v>
      </c>
      <c r="B660" t="s">
        <v>2964</v>
      </c>
      <c r="C660" t="str">
        <f t="shared" si="10"/>
        <v>Consultation - OnsiteUnderstand the drivers &amp; goals for project to product transformation. Discuss shifts required and plan next steps.</v>
      </c>
      <c r="D660" t="s">
        <v>2965</v>
      </c>
      <c r="E660" t="s">
        <v>1901</v>
      </c>
    </row>
    <row r="661" spans="1:5" x14ac:dyDescent="0.35">
      <c r="A661" t="s">
        <v>20</v>
      </c>
      <c r="B661" t="s">
        <v>3001</v>
      </c>
      <c r="C661" t="str">
        <f t="shared" si="10"/>
        <v xml:space="preserve">Consultation - OnsiteReview progress, discuss how metrics for success vary for a product-centric model compared to a project-based model. Plan next steps.
</v>
      </c>
      <c r="D661" t="s">
        <v>2985</v>
      </c>
      <c r="E661" t="s">
        <v>2986</v>
      </c>
    </row>
    <row r="662" spans="1:5" x14ac:dyDescent="0.35">
      <c r="A662" t="s">
        <v>20</v>
      </c>
      <c r="B662" t="s">
        <v>3036</v>
      </c>
      <c r="C662" t="str">
        <f t="shared" si="10"/>
        <v>Consultation - OnsiteDiscuss with our Executive Partner the current state and future state vision. Understand blockchain possibilities to maximize success.</v>
      </c>
      <c r="D662" t="s">
        <v>3037</v>
      </c>
      <c r="E662" t="s">
        <v>3007</v>
      </c>
    </row>
    <row r="663" spans="1:5" x14ac:dyDescent="0.35">
      <c r="A663" t="s">
        <v>20</v>
      </c>
      <c r="B663" t="s">
        <v>4187</v>
      </c>
      <c r="C663" t="str">
        <f t="shared" si="10"/>
        <v>Consultation - Onsiteact3</v>
      </c>
    </row>
    <row r="664" spans="1:5" x14ac:dyDescent="0.35">
      <c r="A664" t="s">
        <v>9</v>
      </c>
      <c r="B664" t="s">
        <v>30</v>
      </c>
      <c r="C664" t="str">
        <f t="shared" si="10"/>
        <v xml:space="preserve">Consultation - PhoneReview existing organization model, discuss options for an optimal IT structure to achieve organization’s future goals. 
</v>
      </c>
      <c r="D664" t="s">
        <v>31</v>
      </c>
      <c r="E664" t="s">
        <v>32</v>
      </c>
    </row>
    <row r="665" spans="1:5" x14ac:dyDescent="0.35">
      <c r="A665" t="s">
        <v>9</v>
      </c>
      <c r="B665" t="s">
        <v>43</v>
      </c>
      <c r="C665" t="str">
        <f t="shared" si="10"/>
        <v>Consultation - PhoneConsult on building a plan for the intended IT organizational change.</v>
      </c>
    </row>
    <row r="666" spans="1:5" x14ac:dyDescent="0.35">
      <c r="A666" t="s">
        <v>9</v>
      </c>
      <c r="B666" t="s">
        <v>51</v>
      </c>
      <c r="C666" t="str">
        <f t="shared" si="10"/>
        <v>Consultation - PhoneDeep dive discussion on the selected organizational model.</v>
      </c>
    </row>
    <row r="667" spans="1:5" x14ac:dyDescent="0.35">
      <c r="A667" t="s">
        <v>9</v>
      </c>
      <c r="B667" t="s">
        <v>52</v>
      </c>
      <c r="C667" t="str">
        <f t="shared" si="10"/>
        <v>Consultation - PhoneUse IT capability modeling to identify individual resources and skills to build a high-performing organization.</v>
      </c>
      <c r="D667" t="s">
        <v>53</v>
      </c>
      <c r="E667" t="s">
        <v>54</v>
      </c>
    </row>
    <row r="668" spans="1:5" x14ac:dyDescent="0.35">
      <c r="A668" t="s">
        <v>9</v>
      </c>
      <c r="B668" t="s">
        <v>61</v>
      </c>
      <c r="C668" t="str">
        <f t="shared" si="10"/>
        <v xml:space="preserve">Consultation - PhoneReview I&amp;T Operating model research to discover changes other companies are creating to be more adaptive to the business.
</v>
      </c>
      <c r="D668" t="s">
        <v>62</v>
      </c>
      <c r="E668" t="s">
        <v>63</v>
      </c>
    </row>
    <row r="669" spans="1:5" x14ac:dyDescent="0.35">
      <c r="A669" t="s">
        <v>9</v>
      </c>
      <c r="B669" t="s">
        <v>64</v>
      </c>
      <c r="C669" t="str">
        <f t="shared" si="10"/>
        <v>Consultation - PhoneDiscussion on handling change  while undergoing organizational redesign.</v>
      </c>
    </row>
    <row r="670" spans="1:5" x14ac:dyDescent="0.35">
      <c r="A670" t="s">
        <v>9</v>
      </c>
      <c r="B670" t="s">
        <v>68</v>
      </c>
      <c r="C670" t="str">
        <f t="shared" si="10"/>
        <v xml:space="preserve">Consultation - PhoneAlign existing resources and roles with business expectations for run-the-business functions and identify grow-transform functions.
</v>
      </c>
      <c r="D670" t="s">
        <v>69</v>
      </c>
      <c r="E670" t="s">
        <v>70</v>
      </c>
    </row>
    <row r="671" spans="1:5" x14ac:dyDescent="0.35">
      <c r="A671" t="s">
        <v>9</v>
      </c>
      <c r="B671" t="s">
        <v>75</v>
      </c>
      <c r="C671" t="str">
        <f t="shared" si="10"/>
        <v>Consultation - PhoneConsult on how to make the IT organizational leaner to drive efficiencies.</v>
      </c>
    </row>
    <row r="672" spans="1:5" x14ac:dyDescent="0.35">
      <c r="A672" t="s">
        <v>9</v>
      </c>
      <c r="B672" t="s">
        <v>82</v>
      </c>
      <c r="C672" t="str">
        <f t="shared" si="10"/>
        <v xml:space="preserve">Consultation - PhoneReview progress and plan for next steps.
</v>
      </c>
    </row>
    <row r="673" spans="1:5" x14ac:dyDescent="0.35">
      <c r="A673" t="s">
        <v>9</v>
      </c>
      <c r="B673" t="s">
        <v>83</v>
      </c>
      <c r="C673" t="str">
        <f t="shared" si="10"/>
        <v>Consultation - PhoneReview the engagement and plan for next steps.</v>
      </c>
    </row>
    <row r="674" spans="1:5" x14ac:dyDescent="0.35">
      <c r="A674" t="s">
        <v>9</v>
      </c>
      <c r="B674" t="s">
        <v>84</v>
      </c>
      <c r="C674" t="str">
        <f t="shared" si="10"/>
        <v>Consultation - PhoneConsult on data and analytics maturity assessment.</v>
      </c>
      <c r="D674" t="s">
        <v>85</v>
      </c>
      <c r="E674" t="s">
        <v>86</v>
      </c>
    </row>
    <row r="675" spans="1:5" x14ac:dyDescent="0.35">
      <c r="A675" t="s">
        <v>9</v>
      </c>
      <c r="B675" t="s">
        <v>92</v>
      </c>
      <c r="C675" t="str">
        <f t="shared" si="10"/>
        <v>Consultation - PhoneIntroduce the book "Infonomics" by Gartner analyst Doug Laney.</v>
      </c>
      <c r="D675" t="s">
        <v>93</v>
      </c>
      <c r="E675" t="s">
        <v>94</v>
      </c>
    </row>
    <row r="676" spans="1:5" x14ac:dyDescent="0.35">
      <c r="A676" t="s">
        <v>9</v>
      </c>
      <c r="B676" t="s">
        <v>102</v>
      </c>
      <c r="C676" t="str">
        <f t="shared" si="10"/>
        <v>Consultation - PhoneReview progress. Discuss next steps in defining an approach to monetizing available information assets.</v>
      </c>
      <c r="D676" t="s">
        <v>103</v>
      </c>
      <c r="E676" t="s">
        <v>104</v>
      </c>
    </row>
    <row r="677" spans="1:5" x14ac:dyDescent="0.35">
      <c r="A677" t="s">
        <v>9</v>
      </c>
      <c r="B677" t="s">
        <v>108</v>
      </c>
      <c r="C677" t="str">
        <f t="shared" si="10"/>
        <v>Consultation - PhoneConsult on use cases for exploiting analytics.</v>
      </c>
      <c r="D677" t="s">
        <v>109</v>
      </c>
      <c r="E677" t="s">
        <v>110</v>
      </c>
    </row>
    <row r="678" spans="1:5" x14ac:dyDescent="0.35">
      <c r="A678" t="s">
        <v>9</v>
      </c>
      <c r="B678" t="s">
        <v>111</v>
      </c>
      <c r="C678" t="str">
        <f t="shared" si="10"/>
        <v>Consultation - PhoneDiscuss use cases to create digital trust at scale, drive revenue, differentiate your organization, and lead the market.</v>
      </c>
      <c r="D678" t="s">
        <v>112</v>
      </c>
      <c r="E678" t="s">
        <v>113</v>
      </c>
    </row>
    <row r="679" spans="1:5" x14ac:dyDescent="0.35">
      <c r="A679" t="s">
        <v>9</v>
      </c>
      <c r="B679" t="s">
        <v>117</v>
      </c>
      <c r="C679" t="str">
        <f t="shared" si="10"/>
        <v>Consultation - PhoneHow to strike balance between data collection and data connection.</v>
      </c>
      <c r="D679" t="s">
        <v>118</v>
      </c>
      <c r="E679" t="s">
        <v>119</v>
      </c>
    </row>
    <row r="680" spans="1:5" x14ac:dyDescent="0.35">
      <c r="A680" t="s">
        <v>9</v>
      </c>
      <c r="B680" t="s">
        <v>123</v>
      </c>
      <c r="C680" t="str">
        <f t="shared" si="10"/>
        <v>Consultation - PhoneReview progress and plan for next steps in Data Asset Monetization.</v>
      </c>
    </row>
    <row r="681" spans="1:5" x14ac:dyDescent="0.35">
      <c r="A681" t="s">
        <v>9</v>
      </c>
      <c r="B681" t="s">
        <v>130</v>
      </c>
      <c r="C681" t="str">
        <f t="shared" si="10"/>
        <v>Consultation - PhoneApplication strategy for Digital commerce.</v>
      </c>
      <c r="D681" t="s">
        <v>131</v>
      </c>
      <c r="E681" t="s">
        <v>132</v>
      </c>
    </row>
    <row r="682" spans="1:5" x14ac:dyDescent="0.35">
      <c r="A682" t="s">
        <v>9</v>
      </c>
      <c r="B682" t="s">
        <v>141</v>
      </c>
      <c r="C682" t="str">
        <f t="shared" si="10"/>
        <v>Consultation - PhoneConsult on digital commerce platform architecture.</v>
      </c>
      <c r="D682" t="s">
        <v>142</v>
      </c>
      <c r="E682" t="s">
        <v>143</v>
      </c>
    </row>
    <row r="683" spans="1:5" x14ac:dyDescent="0.35">
      <c r="A683" t="s">
        <v>9</v>
      </c>
      <c r="B683" t="s">
        <v>145</v>
      </c>
      <c r="C683" t="str">
        <f t="shared" si="10"/>
        <v>Consultation - PhoneHow to structure a digital commerce department &amp; integrate IT &amp; business operations.</v>
      </c>
      <c r="D683" t="s">
        <v>146</v>
      </c>
      <c r="E683" t="s">
        <v>147</v>
      </c>
    </row>
    <row r="684" spans="1:5" x14ac:dyDescent="0.35">
      <c r="A684" t="s">
        <v>9</v>
      </c>
      <c r="B684" t="s">
        <v>162</v>
      </c>
      <c r="C684" t="str">
        <f t="shared" si="10"/>
        <v>Consultation - PhoneConsult on applying AI on digital commerce platforms.</v>
      </c>
      <c r="D684" t="s">
        <v>151</v>
      </c>
      <c r="E684" t="s">
        <v>152</v>
      </c>
    </row>
    <row r="685" spans="1:5" x14ac:dyDescent="0.35">
      <c r="A685" t="s">
        <v>9</v>
      </c>
      <c r="B685" t="s">
        <v>163</v>
      </c>
      <c r="C685" t="str">
        <f t="shared" si="10"/>
        <v>Consultation - PhoneConsult on how to add a marketplace functionality to a commerce site that can increase revenue and improve customer satisfaction.</v>
      </c>
      <c r="D685" t="s">
        <v>164</v>
      </c>
      <c r="E685" t="s">
        <v>165</v>
      </c>
    </row>
    <row r="686" spans="1:5" x14ac:dyDescent="0.35">
      <c r="A686" t="s">
        <v>9</v>
      </c>
      <c r="B686" t="s">
        <v>169</v>
      </c>
      <c r="C686" t="str">
        <f t="shared" si="10"/>
        <v>Consultation - PhoneReview and plan for future.</v>
      </c>
    </row>
    <row r="687" spans="1:5" x14ac:dyDescent="0.35">
      <c r="A687" t="s">
        <v>9</v>
      </c>
      <c r="B687" t="s">
        <v>170</v>
      </c>
      <c r="C687" t="str">
        <f t="shared" si="10"/>
        <v xml:space="preserve">Consultation - PhoneAssess current state, define future goals and create customized, strategic roadmaps for mobile, endpoint and wearable computing.  </v>
      </c>
      <c r="D687" t="s">
        <v>171</v>
      </c>
      <c r="E687" t="s">
        <v>172</v>
      </c>
    </row>
    <row r="688" spans="1:5" x14ac:dyDescent="0.35">
      <c r="A688" t="s">
        <v>9</v>
      </c>
      <c r="B688" t="s">
        <v>179</v>
      </c>
      <c r="C688" t="str">
        <f t="shared" si="10"/>
        <v>Consultation - PhoneReview peer template - covers a broad range of consideration areas to help chart out an EMM strategy.</v>
      </c>
      <c r="D688" t="s">
        <v>180</v>
      </c>
      <c r="E688" t="s">
        <v>181</v>
      </c>
    </row>
    <row r="689" spans="1:5" x14ac:dyDescent="0.35">
      <c r="A689" t="s">
        <v>9</v>
      </c>
      <c r="B689" t="s">
        <v>185</v>
      </c>
      <c r="C689" t="str">
        <f t="shared" si="10"/>
        <v xml:space="preserve">Consultation - PhoneSession to align EMM strategy with best practices to enhance customer responsiveness and employee engagement, and yet minimize security risks.
</v>
      </c>
      <c r="D689" t="s">
        <v>186</v>
      </c>
      <c r="E689" t="s">
        <v>187</v>
      </c>
    </row>
    <row r="690" spans="1:5" x14ac:dyDescent="0.35">
      <c r="A690" t="s">
        <v>9</v>
      </c>
      <c r="B690" t="s">
        <v>192</v>
      </c>
      <c r="C690" t="str">
        <f t="shared" si="10"/>
        <v>Consultation - PhoneConsult on how to navigate the cultural, risk, cost and legal/regulatory hurdles of BYOD to expand mobility across the globe.</v>
      </c>
      <c r="D690" t="s">
        <v>193</v>
      </c>
      <c r="E690" t="s">
        <v>194</v>
      </c>
    </row>
    <row r="691" spans="1:5" x14ac:dyDescent="0.35">
      <c r="A691" t="s">
        <v>9</v>
      </c>
      <c r="B691" t="s">
        <v>200</v>
      </c>
      <c r="C691" t="str">
        <f t="shared" si="10"/>
        <v>Consultation - PhoneConsult on front-line worker use cases to ensure measurable impact of investments</v>
      </c>
      <c r="D691" t="s">
        <v>201</v>
      </c>
      <c r="E691" t="s">
        <v>202</v>
      </c>
    </row>
    <row r="692" spans="1:5" x14ac:dyDescent="0.35">
      <c r="A692" t="s">
        <v>9</v>
      </c>
      <c r="B692" t="s">
        <v>210</v>
      </c>
      <c r="C692" t="str">
        <f t="shared" si="10"/>
        <v xml:space="preserve">Consultation - PhonePlan to leverage maturing Unified Endpoint Management technologies to simplify the many tools, processes &amp; policies that span the device environment. </v>
      </c>
      <c r="D692" t="s">
        <v>211</v>
      </c>
      <c r="E692" t="s">
        <v>212</v>
      </c>
    </row>
    <row r="693" spans="1:5" x14ac:dyDescent="0.35">
      <c r="A693" t="s">
        <v>9</v>
      </c>
      <c r="B693" t="s">
        <v>216</v>
      </c>
      <c r="C693" t="str">
        <f t="shared" si="10"/>
        <v>Consultation - PhoneDiscuss further about trends in Enterprise Mobility and discuss the strategy for 2019.</v>
      </c>
    </row>
    <row r="694" spans="1:5" x14ac:dyDescent="0.35">
      <c r="A694" t="s">
        <v>9</v>
      </c>
      <c r="B694" t="s">
        <v>220</v>
      </c>
      <c r="C694" t="str">
        <f t="shared" si="10"/>
        <v>Consultation - PhoneEstablish a CX program with an outside-in approach to delivering services.</v>
      </c>
      <c r="D694" t="s">
        <v>221</v>
      </c>
      <c r="E694" t="s">
        <v>222</v>
      </c>
    </row>
    <row r="695" spans="1:5" x14ac:dyDescent="0.35">
      <c r="A695" t="s">
        <v>9</v>
      </c>
      <c r="B695" t="s">
        <v>226</v>
      </c>
      <c r="C695" t="str">
        <f t="shared" si="10"/>
        <v>Consultation - PhoneConsult on government digital platforms that are vital to lowering risk and achieving business transformation goals.</v>
      </c>
      <c r="D695" t="s">
        <v>227</v>
      </c>
      <c r="E695" t="s">
        <v>228</v>
      </c>
    </row>
    <row r="696" spans="1:5" x14ac:dyDescent="0.35">
      <c r="A696" t="s">
        <v>9</v>
      </c>
      <c r="B696" t="s">
        <v>240</v>
      </c>
      <c r="C696" t="str">
        <f t="shared" si="10"/>
        <v>Consultation - PhoneAPI management for digital government.</v>
      </c>
      <c r="D696" t="s">
        <v>241</v>
      </c>
      <c r="E696" t="s">
        <v>242</v>
      </c>
    </row>
    <row r="697" spans="1:5" x14ac:dyDescent="0.35">
      <c r="A697" t="s">
        <v>9</v>
      </c>
      <c r="B697" t="s">
        <v>249</v>
      </c>
      <c r="C697" t="str">
        <f t="shared" si="10"/>
        <v>Consultation - PhoneReview progress and consult on how to prove the value of government initiatives.</v>
      </c>
    </row>
    <row r="698" spans="1:5" x14ac:dyDescent="0.35">
      <c r="A698" t="s">
        <v>9</v>
      </c>
      <c r="B698" t="s">
        <v>254</v>
      </c>
      <c r="C698" t="str">
        <f t="shared" si="10"/>
        <v>Consultation - PhoneConsult on how to keep upgrading technology without impacting citizen services.</v>
      </c>
    </row>
    <row r="699" spans="1:5" x14ac:dyDescent="0.35">
      <c r="A699" t="s">
        <v>9</v>
      </c>
      <c r="B699" t="s">
        <v>260</v>
      </c>
      <c r="C699" t="str">
        <f t="shared" si="10"/>
        <v>Consultation - PhoneConsult on Industrie 4.0 Initiative and how it makes manufacturing operations more efficient.</v>
      </c>
      <c r="D699" t="s">
        <v>261</v>
      </c>
      <c r="E699" t="s">
        <v>262</v>
      </c>
    </row>
    <row r="700" spans="1:5" x14ac:dyDescent="0.35">
      <c r="A700" t="s">
        <v>9</v>
      </c>
      <c r="B700" t="s">
        <v>264</v>
      </c>
      <c r="C700" t="str">
        <f t="shared" si="10"/>
        <v>Consultation - PhoneDiscuss on operational integration of business platforms for collaboration and ecosystem development.</v>
      </c>
      <c r="D700" t="s">
        <v>265</v>
      </c>
      <c r="E700" t="s">
        <v>266</v>
      </c>
    </row>
    <row r="701" spans="1:5" x14ac:dyDescent="0.35">
      <c r="A701" t="s">
        <v>9</v>
      </c>
      <c r="B701" t="s">
        <v>272</v>
      </c>
      <c r="C701" t="str">
        <f t="shared" si="10"/>
        <v>Consultation - PhoneConsult on of AI using the IoT, machine learning and additive manufacturing.</v>
      </c>
      <c r="D701" t="s">
        <v>273</v>
      </c>
      <c r="E701" t="s">
        <v>274</v>
      </c>
    </row>
    <row r="702" spans="1:5" x14ac:dyDescent="0.35">
      <c r="A702" t="s">
        <v>9</v>
      </c>
      <c r="B702" t="s">
        <v>275</v>
      </c>
      <c r="C702" t="str">
        <f t="shared" si="10"/>
        <v>Consultation - PhoneConsult on how to implement and exploit AI in manufacturing operations.</v>
      </c>
      <c r="D702" t="s">
        <v>1</v>
      </c>
      <c r="E702" t="s">
        <v>276</v>
      </c>
    </row>
    <row r="703" spans="1:5" x14ac:dyDescent="0.35">
      <c r="A703" t="s">
        <v>9</v>
      </c>
      <c r="B703" t="s">
        <v>283</v>
      </c>
      <c r="C703" t="str">
        <f t="shared" si="10"/>
        <v>Consultation - PhoneReview progress, and plan on how to further enhance and optimize manufacturing operations.</v>
      </c>
    </row>
    <row r="704" spans="1:5" x14ac:dyDescent="0.35">
      <c r="A704" t="s">
        <v>9</v>
      </c>
      <c r="B704" t="s">
        <v>287</v>
      </c>
      <c r="C704" t="str">
        <f t="shared" si="10"/>
        <v>Consultation - PhoneAssess the maturity of the current privacy program and practices.</v>
      </c>
      <c r="D704" t="s">
        <v>288</v>
      </c>
      <c r="E704" t="s">
        <v>289</v>
      </c>
    </row>
    <row r="705" spans="1:5" x14ac:dyDescent="0.35">
      <c r="A705" t="s">
        <v>9</v>
      </c>
      <c r="B705" t="s">
        <v>296</v>
      </c>
      <c r="C705" t="str">
        <f t="shared" si="10"/>
        <v>Consultation - PhoneDiscussion on a quick scan approach to assess the organization's personal data processing activities and revisit privacy policies.</v>
      </c>
    </row>
    <row r="706" spans="1:5" x14ac:dyDescent="0.35">
      <c r="A706" t="s">
        <v>9</v>
      </c>
      <c r="B706" t="s">
        <v>309</v>
      </c>
      <c r="C706" t="str">
        <f t="shared" si="10"/>
        <v>Consultation - PhoneConsult on actions to be taken to fully leverage the value of personal data while maintaining privacy compliance.</v>
      </c>
    </row>
    <row r="707" spans="1:5" x14ac:dyDescent="0.35">
      <c r="A707" t="s">
        <v>9</v>
      </c>
      <c r="B707" t="s">
        <v>310</v>
      </c>
      <c r="C707" t="str">
        <f t="shared" ref="C707:C770" si="11">CONCATENATE(A707,B707)</f>
        <v>Consultation - PhoneAssess and mitigate GDPR risks for content and collaboration implementations.</v>
      </c>
    </row>
    <row r="708" spans="1:5" x14ac:dyDescent="0.35">
      <c r="A708" t="s">
        <v>9</v>
      </c>
      <c r="B708" t="s">
        <v>311</v>
      </c>
      <c r="C708" t="str">
        <f t="shared" si="11"/>
        <v>Consultation - PhoneHow privacy laws effect customer relations.</v>
      </c>
      <c r="D708" t="s">
        <v>312</v>
      </c>
      <c r="E708" t="s">
        <v>313</v>
      </c>
    </row>
    <row r="709" spans="1:5" x14ac:dyDescent="0.35">
      <c r="A709" t="s">
        <v>9</v>
      </c>
      <c r="B709" t="s">
        <v>319</v>
      </c>
      <c r="C709" t="str">
        <f t="shared" si="11"/>
        <v>Consultation - PhoneReview progress, and plan on how to further enhance privacy programs in the organization.</v>
      </c>
    </row>
    <row r="710" spans="1:5" x14ac:dyDescent="0.35">
      <c r="A710" t="s">
        <v>9</v>
      </c>
      <c r="B710" t="s">
        <v>320</v>
      </c>
      <c r="C710" t="str">
        <f t="shared" si="11"/>
        <v>Consultation - PhoneAssess Data and Analytics capability maturity by Using Gartner's ITScore.</v>
      </c>
      <c r="D710" t="s">
        <v>85</v>
      </c>
      <c r="E710" t="s">
        <v>88</v>
      </c>
    </row>
    <row r="711" spans="1:5" x14ac:dyDescent="0.35">
      <c r="A711" t="s">
        <v>9</v>
      </c>
      <c r="B711" t="s">
        <v>322</v>
      </c>
      <c r="C711" t="str">
        <f t="shared" si="11"/>
        <v xml:space="preserve">Consultation - PhoneCraft an Analytics and BI strategy aligning with future vision and goals.  
</v>
      </c>
      <c r="D711" t="s">
        <v>323</v>
      </c>
      <c r="E711" t="s">
        <v>324</v>
      </c>
    </row>
    <row r="712" spans="1:5" x14ac:dyDescent="0.35">
      <c r="A712" t="s">
        <v>9</v>
      </c>
      <c r="B712" t="s">
        <v>356</v>
      </c>
      <c r="C712" t="str">
        <f t="shared" si="11"/>
        <v>Consultation - PhoneReview progress and discuss how to improve Analytics and BI adoption in the organization.  Leverage survey analysis:</v>
      </c>
      <c r="D712" t="s">
        <v>357</v>
      </c>
      <c r="E712" t="s">
        <v>358</v>
      </c>
    </row>
    <row r="713" spans="1:5" x14ac:dyDescent="0.35">
      <c r="A713" t="s">
        <v>9</v>
      </c>
      <c r="B713" t="s">
        <v>359</v>
      </c>
      <c r="C713" t="str">
        <f t="shared" si="11"/>
        <v>Consultation - PhoneComplete a new ITScore assessment. Measure progress and refresh priorities and plan.</v>
      </c>
    </row>
    <row r="714" spans="1:5" x14ac:dyDescent="0.35">
      <c r="A714" t="s">
        <v>9</v>
      </c>
      <c r="B714" t="s">
        <v>362</v>
      </c>
      <c r="C714" t="str">
        <f t="shared" si="11"/>
        <v xml:space="preserve">Consultation - PhoneDiscuss goals for Artificial Intelligence (AI). Review EXP report and plan next steps. </v>
      </c>
      <c r="D714" t="s">
        <v>363</v>
      </c>
      <c r="E714" t="s">
        <v>364</v>
      </c>
    </row>
    <row r="715" spans="1:5" x14ac:dyDescent="0.35">
      <c r="A715" t="s">
        <v>9</v>
      </c>
      <c r="B715" t="s">
        <v>371</v>
      </c>
      <c r="C715" t="str">
        <f t="shared" si="11"/>
        <v xml:space="preserve">Consultation - PhoneCreate AI Roadmap and business case.  </v>
      </c>
      <c r="D715" t="s">
        <v>372</v>
      </c>
      <c r="E715" t="s">
        <v>373</v>
      </c>
    </row>
    <row r="716" spans="1:5" x14ac:dyDescent="0.35">
      <c r="A716" t="s">
        <v>9</v>
      </c>
      <c r="B716" t="s">
        <v>381</v>
      </c>
      <c r="C716" t="str">
        <f t="shared" si="11"/>
        <v>Consultation - PhoneDiscuss stages of the AI maturity and optimize strategy to achieve maximum value from AI investments.</v>
      </c>
      <c r="D716" t="s">
        <v>382</v>
      </c>
      <c r="E716" t="s">
        <v>383</v>
      </c>
    </row>
    <row r="717" spans="1:5" x14ac:dyDescent="0.35">
      <c r="A717" t="s">
        <v>9</v>
      </c>
      <c r="B717" t="s">
        <v>397</v>
      </c>
      <c r="C717" t="str">
        <f t="shared" si="11"/>
        <v>Consultation - PhoneSession on managing Business's expectations around AI.</v>
      </c>
      <c r="D717" t="s">
        <v>398</v>
      </c>
      <c r="E717" t="s">
        <v>399</v>
      </c>
    </row>
    <row r="718" spans="1:5" x14ac:dyDescent="0.35">
      <c r="A718" t="s">
        <v>9</v>
      </c>
      <c r="B718" t="s">
        <v>406</v>
      </c>
      <c r="C718" t="str">
        <f t="shared" si="11"/>
        <v>Consultation - PhoneReview progress and put together a plan for the next 90 days.</v>
      </c>
    </row>
    <row r="719" spans="1:5" x14ac:dyDescent="0.35">
      <c r="A719" t="s">
        <v>9</v>
      </c>
      <c r="B719" t="s">
        <v>407</v>
      </c>
      <c r="C719" t="str">
        <f t="shared" si="11"/>
        <v xml:space="preserve">Consultation - PhoneIdentify the most suitable style of AI Center of Excellence and how to measure its success. 
</v>
      </c>
      <c r="D719" t="s">
        <v>408</v>
      </c>
      <c r="E719" t="s">
        <v>409</v>
      </c>
    </row>
    <row r="720" spans="1:5" x14ac:dyDescent="0.35">
      <c r="A720" t="s">
        <v>9</v>
      </c>
      <c r="B720" t="s">
        <v>411</v>
      </c>
      <c r="C720" t="str">
        <f t="shared" si="11"/>
        <v>Consultation - PhoneWorking session to assess progress and plan next steps.</v>
      </c>
    </row>
    <row r="721" spans="1:5" x14ac:dyDescent="0.35">
      <c r="A721" t="s">
        <v>9</v>
      </c>
      <c r="B721" t="s">
        <v>416</v>
      </c>
      <c r="C721" t="str">
        <f t="shared" si="11"/>
        <v xml:space="preserve">Consultation - PhoneSession to discuss current state and future state vision – complete questionnaire.
</v>
      </c>
      <c r="D721" t="s">
        <v>417</v>
      </c>
      <c r="E721" t="s">
        <v>418</v>
      </c>
    </row>
    <row r="722" spans="1:5" x14ac:dyDescent="0.35">
      <c r="A722" t="s">
        <v>9</v>
      </c>
      <c r="B722" t="s">
        <v>419</v>
      </c>
      <c r="C722" t="str">
        <f t="shared" si="11"/>
        <v xml:space="preserve">Consultation - PhoneWorking session to discuss current state and future state vision – complete questionnaire (go to figure 9): </v>
      </c>
      <c r="D722" t="s">
        <v>417</v>
      </c>
      <c r="E722" t="s">
        <v>420</v>
      </c>
    </row>
    <row r="723" spans="1:5" x14ac:dyDescent="0.35">
      <c r="A723" t="s">
        <v>9</v>
      </c>
      <c r="B723" t="s">
        <v>421</v>
      </c>
      <c r="C723" t="str">
        <f t="shared" si="11"/>
        <v xml:space="preserve">Consultation - PhoneAssessment to evaluate effectiveness of operating model in realizing enterprise goals.  
</v>
      </c>
      <c r="D723" t="s">
        <v>422</v>
      </c>
      <c r="E723" t="s">
        <v>423</v>
      </c>
    </row>
    <row r="724" spans="1:5" x14ac:dyDescent="0.35">
      <c r="A724" t="s">
        <v>9</v>
      </c>
      <c r="B724" t="s">
        <v>434</v>
      </c>
      <c r="C724" t="str">
        <f t="shared" si="11"/>
        <v>Consultation - PhonePrepare executive communications.</v>
      </c>
      <c r="D724" t="s">
        <v>435</v>
      </c>
      <c r="E724" t="s">
        <v>436</v>
      </c>
    </row>
    <row r="725" spans="1:5" x14ac:dyDescent="0.35">
      <c r="A725" t="s">
        <v>9</v>
      </c>
      <c r="B725" t="s">
        <v>441</v>
      </c>
      <c r="C725" t="str">
        <f t="shared" si="11"/>
        <v>Consultation - PhoneReview progress on the nine components and put together a plan for the next 90 days.</v>
      </c>
    </row>
    <row r="726" spans="1:5" x14ac:dyDescent="0.35">
      <c r="A726" t="s">
        <v>9</v>
      </c>
      <c r="B726" t="s">
        <v>449</v>
      </c>
      <c r="C726" t="str">
        <f t="shared" si="11"/>
        <v>Consultation - PhoneRe-run ITScore. Assess progress:</v>
      </c>
      <c r="D726" t="s">
        <v>450</v>
      </c>
      <c r="E726" t="s">
        <v>423</v>
      </c>
    </row>
    <row r="727" spans="1:5" x14ac:dyDescent="0.35">
      <c r="A727" t="s">
        <v>9</v>
      </c>
      <c r="B727" t="s">
        <v>451</v>
      </c>
      <c r="C727" t="str">
        <f t="shared" si="11"/>
        <v xml:space="preserve">Consultation - PhoneKick off IT Strategy discussion. Review Gartner's strategy tools and templates. 
</v>
      </c>
      <c r="D727" t="s">
        <v>452</v>
      </c>
      <c r="E727" t="s">
        <v>453</v>
      </c>
    </row>
    <row r="728" spans="1:5" x14ac:dyDescent="0.35">
      <c r="A728" t="s">
        <v>9</v>
      </c>
      <c r="B728" t="s">
        <v>457</v>
      </c>
      <c r="C728" t="str">
        <f t="shared" si="11"/>
        <v>Consultation - PhoneWorking session outlining Gartner’s approach to strategy. Assess current state, envision future state, identify next steps.</v>
      </c>
    </row>
    <row r="729" spans="1:5" x14ac:dyDescent="0.35">
      <c r="A729" t="s">
        <v>9</v>
      </c>
      <c r="B729" t="s">
        <v>466</v>
      </c>
      <c r="C729" t="str">
        <f t="shared" si="11"/>
        <v xml:space="preserve">Consultation - PhoneEnsure functional leaders are equipped to support the strategic planning process.
</v>
      </c>
      <c r="D729" t="s">
        <v>467</v>
      </c>
      <c r="E729" t="s">
        <v>468</v>
      </c>
    </row>
    <row r="730" spans="1:5" x14ac:dyDescent="0.35">
      <c r="A730" t="s">
        <v>9</v>
      </c>
      <c r="B730" t="s">
        <v>476</v>
      </c>
      <c r="C730" t="str">
        <f t="shared" si="11"/>
        <v>Consultation - PhoneWorking sessions on strategy development and review.</v>
      </c>
    </row>
    <row r="731" spans="1:5" x14ac:dyDescent="0.35">
      <c r="A731" t="s">
        <v>9</v>
      </c>
      <c r="B731" t="s">
        <v>478</v>
      </c>
      <c r="C731" t="str">
        <f t="shared" si="11"/>
        <v>Consultation - PhoneRevisit ITScore results. Identify next set of priorities for maturity improvement.</v>
      </c>
    </row>
    <row r="732" spans="1:5" x14ac:dyDescent="0.35">
      <c r="A732" t="s">
        <v>9</v>
      </c>
      <c r="B732" t="s">
        <v>494</v>
      </c>
      <c r="C732" t="str">
        <f t="shared" si="11"/>
        <v xml:space="preserve">Consultation - PhoneManaging change &amp; people challenge during IT strategy execution: 
</v>
      </c>
      <c r="D732" t="s">
        <v>492</v>
      </c>
      <c r="E732" t="s">
        <v>493</v>
      </c>
    </row>
    <row r="733" spans="1:5" x14ac:dyDescent="0.35">
      <c r="A733" t="s">
        <v>9</v>
      </c>
      <c r="B733" t="s">
        <v>495</v>
      </c>
      <c r="C733" t="str">
        <f t="shared" si="11"/>
        <v>Consultation - PhoneStrategy checkpoint – review and calibration.</v>
      </c>
    </row>
    <row r="734" spans="1:5" x14ac:dyDescent="0.35">
      <c r="A734" t="s">
        <v>9</v>
      </c>
      <c r="B734" t="s">
        <v>501</v>
      </c>
      <c r="C734" t="str">
        <f t="shared" si="11"/>
        <v>Consultation - PhoneStrategy checkpoint – fine tuning the IT Strategy. Plan Strategy refresh cycle.</v>
      </c>
    </row>
    <row r="735" spans="1:5" x14ac:dyDescent="0.35">
      <c r="A735" t="s">
        <v>9</v>
      </c>
      <c r="B735" t="s">
        <v>506</v>
      </c>
      <c r="C735" t="str">
        <f t="shared" si="11"/>
        <v>Consultation - PhoneReview forward looking research:</v>
      </c>
      <c r="D735" t="s">
        <v>507</v>
      </c>
      <c r="E735" t="s">
        <v>508</v>
      </c>
    </row>
    <row r="736" spans="1:5" x14ac:dyDescent="0.35">
      <c r="A736" t="s">
        <v>9</v>
      </c>
      <c r="B736" t="s">
        <v>509</v>
      </c>
      <c r="C736" t="str">
        <f t="shared" si="11"/>
        <v>Consultation - PhoneRepeat assessment:</v>
      </c>
      <c r="D736" t="s">
        <v>422</v>
      </c>
      <c r="E736" t="s">
        <v>461</v>
      </c>
    </row>
    <row r="737" spans="1:5" x14ac:dyDescent="0.35">
      <c r="A737" t="s">
        <v>9</v>
      </c>
      <c r="B737" t="s">
        <v>510</v>
      </c>
      <c r="C737" t="str">
        <f t="shared" si="11"/>
        <v xml:space="preserve">Consultation - PhoneStrategy checkpoint – review the IT Strategy. Plan Strategy refresh cycle.
</v>
      </c>
    </row>
    <row r="738" spans="1:5" x14ac:dyDescent="0.35">
      <c r="A738" t="s">
        <v>9</v>
      </c>
      <c r="B738" t="s">
        <v>516</v>
      </c>
      <c r="C738" t="str">
        <f t="shared" si="11"/>
        <v xml:space="preserve">Consultation - PhoneStrategy consultation on insights, models and questions set out in the research. 
</v>
      </c>
      <c r="D738" t="s">
        <v>517</v>
      </c>
      <c r="E738" t="s">
        <v>513</v>
      </c>
    </row>
    <row r="739" spans="1:5" x14ac:dyDescent="0.35">
      <c r="A739" t="s">
        <v>9</v>
      </c>
      <c r="B739" t="s">
        <v>556</v>
      </c>
      <c r="C739" t="str">
        <f t="shared" si="11"/>
        <v xml:space="preserve">Consultation - PhoneDevelop a communication strategy to effectively communicate business value of IT.
</v>
      </c>
      <c r="D739" t="s">
        <v>557</v>
      </c>
      <c r="E739" t="s">
        <v>558</v>
      </c>
    </row>
    <row r="740" spans="1:5" x14ac:dyDescent="0.35">
      <c r="A740" t="s">
        <v>9</v>
      </c>
      <c r="B740" t="s">
        <v>564</v>
      </c>
      <c r="C740" t="str">
        <f t="shared" si="11"/>
        <v>Consultation - PhoneAnnual BVIT Benchmark against initial baseline.</v>
      </c>
    </row>
    <row r="741" spans="1:5" x14ac:dyDescent="0.35">
      <c r="A741" t="s">
        <v>9</v>
      </c>
      <c r="B741" t="s">
        <v>565</v>
      </c>
      <c r="C741" t="str">
        <f t="shared" si="11"/>
        <v xml:space="preserve">Consultation - PhoneAnnual BVIT Benchmark against initial baseline.
</v>
      </c>
    </row>
    <row r="742" spans="1:5" x14ac:dyDescent="0.35">
      <c r="A742" t="s">
        <v>9</v>
      </c>
      <c r="B742" t="s">
        <v>575</v>
      </c>
      <c r="C742" t="str">
        <f t="shared" si="11"/>
        <v>Consultation - PhonePerform top-down IT synergy analysis that leverages benchmarking information.</v>
      </c>
      <c r="D742" t="s">
        <v>576</v>
      </c>
      <c r="E742" t="s">
        <v>577</v>
      </c>
    </row>
    <row r="743" spans="1:5" x14ac:dyDescent="0.35">
      <c r="A743" t="s">
        <v>9</v>
      </c>
      <c r="B743" t="s">
        <v>582</v>
      </c>
      <c r="C743" t="str">
        <f t="shared" si="11"/>
        <v>Consultation - PhoneReview proposed Synergies – map out Gartner support (Research, Toolkits, Inquiry for Integration Activities &amp; Synergy realization).</v>
      </c>
    </row>
    <row r="744" spans="1:5" x14ac:dyDescent="0.35">
      <c r="A744" t="s">
        <v>9</v>
      </c>
      <c r="B744" t="s">
        <v>597</v>
      </c>
      <c r="C744" t="str">
        <f t="shared" si="11"/>
        <v>Consultation - PhoneReview progress, capture lessons learned for the serial M&amp;A playbook.</v>
      </c>
      <c r="D744" t="s">
        <v>598</v>
      </c>
      <c r="E744" t="s">
        <v>599</v>
      </c>
    </row>
    <row r="745" spans="1:5" x14ac:dyDescent="0.35">
      <c r="A745" t="s">
        <v>9</v>
      </c>
      <c r="B745" t="s">
        <v>607</v>
      </c>
      <c r="C745" t="str">
        <f t="shared" si="11"/>
        <v xml:space="preserve">Consultation - PhoneClarify innovation objectives by completing the questionnaire in the research note below (see Appendix 1). </v>
      </c>
      <c r="D745" t="s">
        <v>608</v>
      </c>
      <c r="E745" t="s">
        <v>609</v>
      </c>
    </row>
    <row r="746" spans="1:5" x14ac:dyDescent="0.35">
      <c r="A746" t="s">
        <v>9</v>
      </c>
      <c r="B746" t="s">
        <v>623</v>
      </c>
      <c r="C746" t="str">
        <f t="shared" si="11"/>
        <v>Consultation - PhoneLeverage Gartner’s Hype Cycle toolkit to develop a shortlist of areas where you need to innovate.</v>
      </c>
      <c r="D746" t="s">
        <v>624</v>
      </c>
      <c r="E746" t="s">
        <v>625</v>
      </c>
    </row>
    <row r="747" spans="1:5" x14ac:dyDescent="0.35">
      <c r="A747" t="s">
        <v>9</v>
      </c>
      <c r="B747" t="s">
        <v>634</v>
      </c>
      <c r="C747" t="str">
        <f t="shared" si="11"/>
        <v xml:space="preserve">Consultation - PhoneLeverage Gartner’s Hype Cycles for innovation </v>
      </c>
      <c r="D747" t="s">
        <v>635</v>
      </c>
      <c r="E747" t="s">
        <v>636</v>
      </c>
    </row>
    <row r="748" spans="1:5" x14ac:dyDescent="0.35">
      <c r="A748" t="s">
        <v>9</v>
      </c>
      <c r="B748" t="s">
        <v>647</v>
      </c>
      <c r="C748" t="str">
        <f t="shared" si="11"/>
        <v xml:space="preserve">Consultation - PhoneDiscuss best practices implemented by technology-risk-aggressive innovators. List 3-5 that should be instilled. </v>
      </c>
      <c r="D748" t="s">
        <v>638</v>
      </c>
      <c r="E748" t="s">
        <v>648</v>
      </c>
    </row>
    <row r="749" spans="1:5" x14ac:dyDescent="0.35">
      <c r="A749" t="s">
        <v>9</v>
      </c>
      <c r="B749" t="s">
        <v>654</v>
      </c>
      <c r="C749" t="str">
        <f t="shared" si="11"/>
        <v>Consultation - PhoneComplete the IT Budget Assessment to compare results against Key Metrics data for your sector.</v>
      </c>
      <c r="D749" t="s">
        <v>655</v>
      </c>
      <c r="E749" t="s">
        <v>656</v>
      </c>
    </row>
    <row r="750" spans="1:5" x14ac:dyDescent="0.35">
      <c r="A750" t="s">
        <v>9</v>
      </c>
      <c r="B750" t="s">
        <v>657</v>
      </c>
      <c r="C750" t="str">
        <f t="shared" si="11"/>
        <v>Consultation - PhoneIdentify candidates for optimization. Prepare for workshop.</v>
      </c>
      <c r="D750" t="s">
        <v>658</v>
      </c>
      <c r="E750" t="s">
        <v>659</v>
      </c>
    </row>
    <row r="751" spans="1:5" x14ac:dyDescent="0.35">
      <c r="A751" t="s">
        <v>9</v>
      </c>
      <c r="B751" t="s">
        <v>661</v>
      </c>
      <c r="C751" t="str">
        <f t="shared" si="11"/>
        <v xml:space="preserve">Consultation - PhoneUse Gartner's Principles framework to assess and challenge your existing activities. Assess their full potential using the prioritization toolkit. </v>
      </c>
      <c r="D751" t="s">
        <v>662</v>
      </c>
      <c r="E751" t="s">
        <v>663</v>
      </c>
    </row>
    <row r="752" spans="1:5" x14ac:dyDescent="0.35">
      <c r="A752" t="s">
        <v>9</v>
      </c>
      <c r="B752" t="s">
        <v>669</v>
      </c>
      <c r="C752" t="str">
        <f t="shared" si="11"/>
        <v>Consultation - PhoneConsult on tactics to get the best deal when negotiating with software vendors. Leverage toolkit:</v>
      </c>
      <c r="D752" t="s">
        <v>670</v>
      </c>
      <c r="E752" t="s">
        <v>671</v>
      </c>
    </row>
    <row r="753" spans="1:5" x14ac:dyDescent="0.35">
      <c r="A753" t="s">
        <v>9</v>
      </c>
      <c r="B753" t="s">
        <v>679</v>
      </c>
      <c r="C753" t="str">
        <f t="shared" si="11"/>
        <v>Consultation - PhoneExplore additional ideas for IT cost optimization.</v>
      </c>
      <c r="D753" t="s">
        <v>680</v>
      </c>
      <c r="E753" t="s">
        <v>681</v>
      </c>
    </row>
    <row r="754" spans="1:5" x14ac:dyDescent="0.35">
      <c r="A754" t="s">
        <v>9</v>
      </c>
      <c r="B754" t="s">
        <v>686</v>
      </c>
      <c r="C754" t="str">
        <f t="shared" si="11"/>
        <v>Consultation - PhoneTrack progress, discuss blockers and draft a plan for next steps. Read research on communicating initiatives.</v>
      </c>
      <c r="D754" t="s">
        <v>687</v>
      </c>
      <c r="E754" t="s">
        <v>688</v>
      </c>
    </row>
    <row r="755" spans="1:5" x14ac:dyDescent="0.35">
      <c r="A755" t="s">
        <v>9</v>
      </c>
      <c r="B755" t="s">
        <v>693</v>
      </c>
      <c r="C755" t="str">
        <f t="shared" si="11"/>
        <v>Consultation - PhoneDiscuss current state. Use Gartner's maturity model to improve the customer experience.</v>
      </c>
      <c r="D755" t="s">
        <v>694</v>
      </c>
      <c r="E755" t="s">
        <v>695</v>
      </c>
    </row>
    <row r="756" spans="1:5" x14ac:dyDescent="0.35">
      <c r="A756" t="s">
        <v>9</v>
      </c>
      <c r="B756" t="s">
        <v>704</v>
      </c>
      <c r="C756" t="str">
        <f t="shared" si="11"/>
        <v>Consultation - PhoneConsult to optimally engage the customer by tying multiple systems together. Read first:</v>
      </c>
      <c r="D756" t="s">
        <v>705</v>
      </c>
      <c r="E756" t="s">
        <v>706</v>
      </c>
    </row>
    <row r="757" spans="1:5" x14ac:dyDescent="0.35">
      <c r="A757" t="s">
        <v>9</v>
      </c>
      <c r="B757" t="s">
        <v>717</v>
      </c>
      <c r="C757" t="str">
        <f t="shared" si="11"/>
        <v>Consultation - PhonePlan to engage with CX leaders to identify high-value use cases to drive innovation.</v>
      </c>
      <c r="D757" t="s">
        <v>718</v>
      </c>
      <c r="E757" t="s">
        <v>719</v>
      </c>
    </row>
    <row r="758" spans="1:5" x14ac:dyDescent="0.35">
      <c r="A758" t="s">
        <v>9</v>
      </c>
      <c r="B758" t="s">
        <v>730</v>
      </c>
      <c r="C758" t="str">
        <f t="shared" si="11"/>
        <v>Consultation - PhoneLeverage objective scoring framework for optimal resource utilization.</v>
      </c>
      <c r="D758" t="s">
        <v>731</v>
      </c>
      <c r="E758" t="s">
        <v>732</v>
      </c>
    </row>
    <row r="759" spans="1:5" x14ac:dyDescent="0.35">
      <c r="A759" t="s">
        <v>9</v>
      </c>
      <c r="B759" t="s">
        <v>737</v>
      </c>
      <c r="C759" t="str">
        <f t="shared" si="11"/>
        <v>Consultation - PhoneTrack progress. Discuss priorities to achieve the next level of customer experience maturity.</v>
      </c>
    </row>
    <row r="760" spans="1:5" x14ac:dyDescent="0.35">
      <c r="A760" t="s">
        <v>9</v>
      </c>
      <c r="B760" t="s">
        <v>738</v>
      </c>
      <c r="C760" t="str">
        <f t="shared" si="11"/>
        <v>Consultation - PhoneDiscuss current state and future state vision for ERP with EP. Create a roadmap.</v>
      </c>
      <c r="D760" t="s">
        <v>739</v>
      </c>
      <c r="E760" t="s">
        <v>740</v>
      </c>
    </row>
    <row r="761" spans="1:5" x14ac:dyDescent="0.35">
      <c r="A761" t="s">
        <v>9</v>
      </c>
      <c r="B761" t="s">
        <v>741</v>
      </c>
      <c r="C761" t="str">
        <f t="shared" si="11"/>
        <v>Consultation - PhoneDiscuss first steps - plan a readiness assessment and create a charter:</v>
      </c>
      <c r="D761" t="s">
        <v>742</v>
      </c>
      <c r="E761" t="s">
        <v>743</v>
      </c>
    </row>
    <row r="762" spans="1:5" x14ac:dyDescent="0.35">
      <c r="A762" t="s">
        <v>9</v>
      </c>
      <c r="B762" t="s">
        <v>761</v>
      </c>
      <c r="C762" t="str">
        <f t="shared" si="11"/>
        <v>Consultation - PhoneMap out a communication strategy for stakeholders that shifts the perception of ERP to digital business enabler.</v>
      </c>
    </row>
    <row r="763" spans="1:5" x14ac:dyDescent="0.35">
      <c r="A763" t="s">
        <v>9</v>
      </c>
      <c r="B763" t="s">
        <v>767</v>
      </c>
      <c r="C763" t="str">
        <f t="shared" si="11"/>
        <v>Consultation - PhoneDiscuss bimodal adoption for ERP Implementation.</v>
      </c>
      <c r="D763" t="s">
        <v>768</v>
      </c>
      <c r="E763" t="s">
        <v>769</v>
      </c>
    </row>
    <row r="764" spans="1:5" x14ac:dyDescent="0.35">
      <c r="A764" t="s">
        <v>9</v>
      </c>
      <c r="B764" t="s">
        <v>770</v>
      </c>
      <c r="C764" t="str">
        <f t="shared" si="11"/>
        <v>Consultation - PhoneDiscuss integration challenges associated with postmodern ERP. Read first:</v>
      </c>
      <c r="D764" t="s">
        <v>771</v>
      </c>
      <c r="E764" t="s">
        <v>772</v>
      </c>
    </row>
    <row r="765" spans="1:5" x14ac:dyDescent="0.35">
      <c r="A765" t="s">
        <v>9</v>
      </c>
      <c r="B765" t="s">
        <v>785</v>
      </c>
      <c r="C765" t="str">
        <f t="shared" si="11"/>
        <v>Consultation - PhoneDiscuss establishing best practices in working with business stakeholders to ensure successful phases, go-lives and releases. Read:</v>
      </c>
      <c r="D765" t="s">
        <v>786</v>
      </c>
      <c r="E765" t="s">
        <v>787</v>
      </c>
    </row>
    <row r="766" spans="1:5" x14ac:dyDescent="0.35">
      <c r="A766" t="s">
        <v>9</v>
      </c>
      <c r="B766" t="s">
        <v>788</v>
      </c>
      <c r="C766" t="str">
        <f t="shared" si="11"/>
        <v>Consultation - PhoneTrack progress, explore additional opportunities and draft a plan for next steps.</v>
      </c>
    </row>
    <row r="767" spans="1:5" x14ac:dyDescent="0.35">
      <c r="A767" t="s">
        <v>9</v>
      </c>
      <c r="B767" t="s">
        <v>789</v>
      </c>
      <c r="C767" t="str">
        <f t="shared" si="11"/>
        <v>Consultation - PhoneReview MS contract expiry date and plan renewal activities for the year.</v>
      </c>
    </row>
    <row r="768" spans="1:5" x14ac:dyDescent="0.35">
      <c r="A768" t="s">
        <v>9</v>
      </c>
      <c r="B768" t="s">
        <v>795</v>
      </c>
      <c r="C768" t="str">
        <f t="shared" si="11"/>
        <v>Consultation - PhoneMid year checkpoint calendarize remaining activities.</v>
      </c>
    </row>
    <row r="769" spans="1:5" x14ac:dyDescent="0.35">
      <c r="A769" t="s">
        <v>9</v>
      </c>
      <c r="B769" t="s">
        <v>803</v>
      </c>
      <c r="C769" t="str">
        <f t="shared" si="11"/>
        <v>Consultation - PhoneDocument savings &amp; negotiation wins.</v>
      </c>
    </row>
    <row r="770" spans="1:5" x14ac:dyDescent="0.35">
      <c r="A770" t="s">
        <v>9</v>
      </c>
      <c r="B770" t="s">
        <v>804</v>
      </c>
      <c r="C770" t="str">
        <f t="shared" si="11"/>
        <v>Consultation - PhoneDiscuss goals for Digital Leadership. Review EXP report and create a roadmap of next steps</v>
      </c>
      <c r="D770" t="s">
        <v>805</v>
      </c>
      <c r="E770" t="s">
        <v>806</v>
      </c>
    </row>
    <row r="771" spans="1:5" x14ac:dyDescent="0.35">
      <c r="A771" t="s">
        <v>9</v>
      </c>
      <c r="B771" t="s">
        <v>816</v>
      </c>
      <c r="C771" t="str">
        <f t="shared" ref="C771:C834" si="12">CONCATENATE(A771,B771)</f>
        <v>Consultation - PhoneDiscuss leadership goals. Identify gaps and opportunities for development.</v>
      </c>
      <c r="D771" t="s">
        <v>817</v>
      </c>
      <c r="E771" t="s">
        <v>818</v>
      </c>
    </row>
    <row r="772" spans="1:5" x14ac:dyDescent="0.35">
      <c r="A772" t="s">
        <v>9</v>
      </c>
      <c r="B772" t="s">
        <v>834</v>
      </c>
      <c r="C772" t="str">
        <f t="shared" si="12"/>
        <v>Consultation - PhoneOngoing discussions on leadership and communication. Review of board presentations etc.</v>
      </c>
    </row>
    <row r="773" spans="1:5" x14ac:dyDescent="0.35">
      <c r="A773" t="s">
        <v>9</v>
      </c>
      <c r="B773" t="s">
        <v>844</v>
      </c>
      <c r="C773" t="str">
        <f t="shared" si="12"/>
        <v xml:space="preserve">Consultation - PhoneReview key messages from the book Switch: "Direct the Rider, Motivate the Elephant, Shape the Path."  
</v>
      </c>
      <c r="D773" t="s">
        <v>845</v>
      </c>
      <c r="E773" t="s">
        <v>846</v>
      </c>
    </row>
    <row r="774" spans="1:5" x14ac:dyDescent="0.35">
      <c r="A774" t="s">
        <v>9</v>
      </c>
      <c r="B774" t="s">
        <v>855</v>
      </c>
      <c r="C774" t="str">
        <f t="shared" si="12"/>
        <v>Consultation - PhoneLeadership coaching discussion  around a current challenge. e.g. Tackling a difficult political situation.</v>
      </c>
    </row>
    <row r="775" spans="1:5" x14ac:dyDescent="0.35">
      <c r="A775" t="s">
        <v>9</v>
      </c>
      <c r="B775" t="s">
        <v>856</v>
      </c>
      <c r="C775" t="str">
        <f t="shared" si="12"/>
        <v xml:space="preserve">Consultation - PhoneLeadership coaching discussion around a current challenge. e.g. Tackling a difficult political situation.
</v>
      </c>
    </row>
    <row r="776" spans="1:5" x14ac:dyDescent="0.35">
      <c r="A776" t="s">
        <v>9</v>
      </c>
      <c r="B776" t="s">
        <v>864</v>
      </c>
      <c r="C776" t="str">
        <f t="shared" si="12"/>
        <v>Consultation - PhoneBuild CIO Leadership Forum Agenda. Schedule upcoming contract reviews.</v>
      </c>
    </row>
    <row r="777" spans="1:5" x14ac:dyDescent="0.35">
      <c r="A777" t="s">
        <v>9</v>
      </c>
      <c r="B777" t="s">
        <v>868</v>
      </c>
      <c r="C777" t="str">
        <f t="shared" si="12"/>
        <v>Consultation - PhoneConduct annual strategy review. Preparing for an effective year.</v>
      </c>
    </row>
    <row r="778" spans="1:5" x14ac:dyDescent="0.35">
      <c r="A778" t="s">
        <v>9</v>
      </c>
      <c r="B778" t="s">
        <v>869</v>
      </c>
      <c r="C778" t="str">
        <f t="shared" si="12"/>
        <v>Consultation - PhoneMonthly call - Annual strategy review / Transformational Planning</v>
      </c>
    </row>
    <row r="779" spans="1:5" x14ac:dyDescent="0.35">
      <c r="A779" t="s">
        <v>9</v>
      </c>
      <c r="B779" t="s">
        <v>871</v>
      </c>
      <c r="C779" t="str">
        <f t="shared" si="12"/>
        <v>Consultation - PhoneBenchmark costs and IT management maturity: Using Gartner ITBudget and ITScore, work with EP and analysts to assess and drive improvement.</v>
      </c>
      <c r="D779" t="s">
        <v>872</v>
      </c>
      <c r="E779" t="s">
        <v>873</v>
      </c>
    </row>
    <row r="780" spans="1:5" x14ac:dyDescent="0.35">
      <c r="A780" t="s">
        <v>9</v>
      </c>
      <c r="B780" t="s">
        <v>874</v>
      </c>
      <c r="C780" t="str">
        <f t="shared" si="12"/>
        <v>Consultation - PhoneDiscuss options for analyst briefing/lunch and learn topics.</v>
      </c>
    </row>
    <row r="781" spans="1:5" x14ac:dyDescent="0.35">
      <c r="A781" t="s">
        <v>9</v>
      </c>
      <c r="B781" t="s">
        <v>875</v>
      </c>
      <c r="C781" t="str">
        <f t="shared" si="12"/>
        <v>Consultation - PhoneBenchmark costs and IT management maturity: Using Gartner ITBudget and ITScore, work with EP and analysts to assess and drive improvement</v>
      </c>
      <c r="D781" t="s">
        <v>876</v>
      </c>
      <c r="E781" t="s">
        <v>873</v>
      </c>
    </row>
    <row r="782" spans="1:5" x14ac:dyDescent="0.35">
      <c r="A782" t="s">
        <v>9</v>
      </c>
      <c r="B782" t="s">
        <v>877</v>
      </c>
      <c r="C782" t="str">
        <f t="shared" si="12"/>
        <v>Consultation - PhoneMonthly call</v>
      </c>
    </row>
    <row r="783" spans="1:5" x14ac:dyDescent="0.35">
      <c r="A783" t="s">
        <v>9</v>
      </c>
      <c r="B783" t="s">
        <v>878</v>
      </c>
      <c r="C783" t="str">
        <f t="shared" si="12"/>
        <v>Consultation - PhoneParticipate in CIO survey</v>
      </c>
    </row>
    <row r="784" spans="1:5" x14ac:dyDescent="0.35">
      <c r="A784" t="s">
        <v>9</v>
      </c>
      <c r="B784" t="s">
        <v>879</v>
      </c>
      <c r="C784" t="str">
        <f t="shared" si="12"/>
        <v>Consultation - PhoneAnnual cost optimization review</v>
      </c>
    </row>
    <row r="785" spans="1:5" x14ac:dyDescent="0.35">
      <c r="A785" t="s">
        <v>9</v>
      </c>
      <c r="B785" t="s">
        <v>882</v>
      </c>
      <c r="C785" t="str">
        <f t="shared" si="12"/>
        <v>Consultation - PhoneSchedule upcoming contract reviews.</v>
      </c>
    </row>
    <row r="786" spans="1:5" x14ac:dyDescent="0.35">
      <c r="A786" t="s">
        <v>9</v>
      </c>
      <c r="B786" t="s">
        <v>884</v>
      </c>
      <c r="C786" t="str">
        <f t="shared" si="12"/>
        <v>Consultation - PhoneSymposium agenda building.</v>
      </c>
    </row>
    <row r="787" spans="1:5" x14ac:dyDescent="0.35">
      <c r="A787" t="s">
        <v>9</v>
      </c>
      <c r="B787" t="s">
        <v>885</v>
      </c>
      <c r="C787" t="str">
        <f t="shared" si="12"/>
        <v>Consultation - PhonePortal refresh - align Key Initiative tracks</v>
      </c>
    </row>
    <row r="788" spans="1:5" x14ac:dyDescent="0.35">
      <c r="A788" t="s">
        <v>9</v>
      </c>
      <c r="B788" t="s">
        <v>889</v>
      </c>
      <c r="C788" t="str">
        <f t="shared" si="12"/>
        <v>Consultation - PhoneReview CIO Agenda &amp; CIO Survey Peer Report with Executive Partner: Determine areas for investigation and improvement.</v>
      </c>
    </row>
    <row r="789" spans="1:5" x14ac:dyDescent="0.35">
      <c r="A789" t="s">
        <v>9</v>
      </c>
      <c r="B789" t="s">
        <v>890</v>
      </c>
      <c r="C789" t="str">
        <f t="shared" si="12"/>
        <v>Consultation - PhonePost Symposium review: Session highlights, insights gained, networking connection follow ups and further analyst calls.</v>
      </c>
    </row>
    <row r="790" spans="1:5" x14ac:dyDescent="0.35">
      <c r="A790" t="s">
        <v>9</v>
      </c>
      <c r="B790" t="s">
        <v>865</v>
      </c>
      <c r="C790" t="str">
        <f t="shared" si="12"/>
        <v>Consultation - PhoneResearch highlights:</v>
      </c>
      <c r="D790" t="s">
        <v>892</v>
      </c>
      <c r="E790" t="s">
        <v>893</v>
      </c>
    </row>
    <row r="791" spans="1:5" x14ac:dyDescent="0.35">
      <c r="A791" t="s">
        <v>9</v>
      </c>
      <c r="B791" t="s">
        <v>894</v>
      </c>
      <c r="C791" t="str">
        <f t="shared" si="12"/>
        <v xml:space="preserve">Consultation - PhoneDiscuss the Gartner maturity model/ITScore process and the relationship between IT maturity and successful transformation. 
</v>
      </c>
      <c r="D791" t="s">
        <v>895</v>
      </c>
      <c r="E791" t="s">
        <v>896</v>
      </c>
    </row>
    <row r="792" spans="1:5" x14ac:dyDescent="0.35">
      <c r="A792" t="s">
        <v>9</v>
      </c>
      <c r="B792" t="s">
        <v>902</v>
      </c>
      <c r="C792" t="str">
        <f t="shared" si="12"/>
        <v>Consultation - PhoneDiscuss delegation of the 14 ITScore diagnostic assessments to the members of your team.</v>
      </c>
    </row>
    <row r="793" spans="1:5" x14ac:dyDescent="0.35">
      <c r="A793" t="s">
        <v>9</v>
      </c>
      <c r="B793" t="s">
        <v>904</v>
      </c>
      <c r="C793" t="str">
        <f t="shared" si="12"/>
        <v>Consultation - PhoneWork with the Executive Partner to interpret the ITScore reports, put them in context, and prioritize follow up action.</v>
      </c>
    </row>
    <row r="794" spans="1:5" x14ac:dyDescent="0.35">
      <c r="A794" t="s">
        <v>9</v>
      </c>
      <c r="B794" t="s">
        <v>921</v>
      </c>
      <c r="C794" t="str">
        <f t="shared" si="12"/>
        <v>Consultation - PhonePlan for next annual ITScore  maturity assessment.</v>
      </c>
    </row>
    <row r="795" spans="1:5" x14ac:dyDescent="0.35">
      <c r="A795" t="s">
        <v>9</v>
      </c>
      <c r="B795" t="s">
        <v>923</v>
      </c>
      <c r="C795" t="str">
        <f t="shared" si="12"/>
        <v>Consultation - PhoneConduct a digital skills assessment.</v>
      </c>
      <c r="D795" t="s">
        <v>924</v>
      </c>
      <c r="E795" t="s">
        <v>925</v>
      </c>
    </row>
    <row r="796" spans="1:5" x14ac:dyDescent="0.35">
      <c r="A796" t="s">
        <v>9</v>
      </c>
      <c r="B796" t="s">
        <v>947</v>
      </c>
      <c r="C796" t="str">
        <f t="shared" si="12"/>
        <v>Consultation - PhoneDiscuss the requisites for the future of WFM.</v>
      </c>
      <c r="D796" t="s">
        <v>948</v>
      </c>
      <c r="E796" t="s">
        <v>949</v>
      </c>
    </row>
    <row r="797" spans="1:5" x14ac:dyDescent="0.35">
      <c r="A797" t="s">
        <v>9</v>
      </c>
      <c r="B797" t="s">
        <v>954</v>
      </c>
      <c r="C797" t="str">
        <f t="shared" si="12"/>
        <v>Consultation - PhoneDiscuss and strategize next steps for enterprise change capability.</v>
      </c>
      <c r="D797" t="s">
        <v>955</v>
      </c>
      <c r="E797" t="s">
        <v>956</v>
      </c>
    </row>
    <row r="798" spans="1:5" x14ac:dyDescent="0.35">
      <c r="A798" t="s">
        <v>9</v>
      </c>
      <c r="B798" t="s">
        <v>967</v>
      </c>
      <c r="C798" t="str">
        <f t="shared" si="12"/>
        <v xml:space="preserve">Consultation - PhoneReview key messages from the book: </v>
      </c>
      <c r="D798" t="s">
        <v>845</v>
      </c>
      <c r="E798" t="s">
        <v>846</v>
      </c>
    </row>
    <row r="799" spans="1:5" x14ac:dyDescent="0.35">
      <c r="A799" t="s">
        <v>9</v>
      </c>
      <c r="B799" t="s">
        <v>988</v>
      </c>
      <c r="C799" t="str">
        <f t="shared" si="12"/>
        <v>Consultation - PhoneDiscuss employee feedback survey.</v>
      </c>
    </row>
    <row r="800" spans="1:5" x14ac:dyDescent="0.35">
      <c r="A800" t="s">
        <v>9</v>
      </c>
      <c r="B800" t="s">
        <v>989</v>
      </c>
      <c r="C800" t="str">
        <f t="shared" si="12"/>
        <v xml:space="preserve">Consultation - PhoneConsult with an EP. Discuss current strategy and complete the maturity assessment to gauge exposure to critical risks. </v>
      </c>
      <c r="D800" t="s">
        <v>990</v>
      </c>
      <c r="E800" t="s">
        <v>991</v>
      </c>
    </row>
    <row r="801" spans="1:5" x14ac:dyDescent="0.35">
      <c r="A801" t="s">
        <v>9</v>
      </c>
      <c r="B801" t="s">
        <v>996</v>
      </c>
      <c r="C801" t="str">
        <f t="shared" si="12"/>
        <v>Consultation - PhoneOutline current threat detection and mitigation policies. Leverage toolkit to plan for and respond to the challenges of targeted cyber attacks.</v>
      </c>
      <c r="D801" t="s">
        <v>997</v>
      </c>
      <c r="E801" t="s">
        <v>998</v>
      </c>
    </row>
    <row r="802" spans="1:5" x14ac:dyDescent="0.35">
      <c r="A802" t="s">
        <v>9</v>
      </c>
      <c r="B802" t="s">
        <v>1003</v>
      </c>
      <c r="C802" t="str">
        <f t="shared" si="12"/>
        <v>Consultation - PhoneFinalize Security strategy and leverage Toolkit to develop a security strategy.</v>
      </c>
      <c r="D802" t="s">
        <v>1004</v>
      </c>
      <c r="E802" t="s">
        <v>1005</v>
      </c>
    </row>
    <row r="803" spans="1:5" x14ac:dyDescent="0.35">
      <c r="A803" t="s">
        <v>9</v>
      </c>
      <c r="B803" t="s">
        <v>1006</v>
      </c>
      <c r="C803" t="str">
        <f t="shared" si="12"/>
        <v>Consultation - PhoneCraft an approach to stakeholder communications on security &amp; risk. Leverage Toolkit for board-relevant and business-aligned content.</v>
      </c>
      <c r="D803" t="s">
        <v>1007</v>
      </c>
      <c r="E803" t="s">
        <v>1008</v>
      </c>
    </row>
    <row r="804" spans="1:5" x14ac:dyDescent="0.35">
      <c r="A804" t="s">
        <v>9</v>
      </c>
      <c r="B804" t="s">
        <v>1021</v>
      </c>
      <c r="C804" t="str">
        <f t="shared" si="12"/>
        <v xml:space="preserve">Consultation - PhoneDiscuss running a Business Impact Analysis exercise to drive priorities for Incident Response preparation. </v>
      </c>
    </row>
    <row r="805" spans="1:5" x14ac:dyDescent="0.35">
      <c r="A805" t="s">
        <v>9</v>
      </c>
      <c r="B805" t="s">
        <v>1031</v>
      </c>
      <c r="C805" t="str">
        <f t="shared" si="12"/>
        <v xml:space="preserve">Consultation - PhoneConsult on best practices in creating Security policies. </v>
      </c>
      <c r="D805" t="s">
        <v>1032</v>
      </c>
      <c r="E805" t="s">
        <v>1033</v>
      </c>
    </row>
    <row r="806" spans="1:5" x14ac:dyDescent="0.35">
      <c r="A806" t="s">
        <v>9</v>
      </c>
      <c r="B806" t="s">
        <v>1037</v>
      </c>
      <c r="C806" t="str">
        <f t="shared" si="12"/>
        <v>Consultation - PhoneAssess progress to date, document wins in business value terms, prioritize and plan next 90 days.</v>
      </c>
    </row>
    <row r="807" spans="1:5" x14ac:dyDescent="0.35">
      <c r="A807" t="s">
        <v>9</v>
      </c>
      <c r="B807" t="s">
        <v>1039</v>
      </c>
      <c r="C807" t="str">
        <f t="shared" si="12"/>
        <v>Consultation - PhoneDiscuss contract review service. Compile a vendor contract expiry calendar – set reminders for contract review checkpoints.</v>
      </c>
    </row>
    <row r="808" spans="1:5" x14ac:dyDescent="0.35">
      <c r="A808" t="s">
        <v>9</v>
      </c>
      <c r="B808" t="s">
        <v>1041</v>
      </c>
      <c r="C808" t="str">
        <f t="shared" si="12"/>
        <v>Consultation - PhoneReview upcoming purchases and contract renewals. Schedule reviews with analysts.</v>
      </c>
    </row>
    <row r="809" spans="1:5" x14ac:dyDescent="0.35">
      <c r="A809" t="s">
        <v>9</v>
      </c>
      <c r="B809" t="s">
        <v>1045</v>
      </c>
      <c r="C809" t="str">
        <f t="shared" si="12"/>
        <v xml:space="preserve">Consultation - PhoneReview &amp; assess current state of cloud strategy. Discuss visions, goals &amp; next steps. </v>
      </c>
      <c r="D809" t="s">
        <v>1046</v>
      </c>
      <c r="E809" t="s">
        <v>1047</v>
      </c>
    </row>
    <row r="810" spans="1:5" x14ac:dyDescent="0.35">
      <c r="A810" t="s">
        <v>9</v>
      </c>
      <c r="B810" t="s">
        <v>1066</v>
      </c>
      <c r="C810" t="str">
        <f t="shared" si="12"/>
        <v xml:space="preserve">Consultation - PhoneReview impact of movement to cloud on the structure, missions, and roles of and within IT organizations. 
</v>
      </c>
      <c r="D810" t="s">
        <v>1067</v>
      </c>
      <c r="E810" t="s">
        <v>1068</v>
      </c>
    </row>
    <row r="811" spans="1:5" x14ac:dyDescent="0.35">
      <c r="A811" t="s">
        <v>9</v>
      </c>
      <c r="B811" t="s">
        <v>1076</v>
      </c>
      <c r="C811" t="str">
        <f t="shared" si="12"/>
        <v xml:space="preserve">Consultation - PhoneWorking session to assess progress and plan next steps.
</v>
      </c>
    </row>
    <row r="812" spans="1:5" x14ac:dyDescent="0.35">
      <c r="A812" t="s">
        <v>9</v>
      </c>
      <c r="B812" t="s">
        <v>1077</v>
      </c>
      <c r="C812" t="str">
        <f t="shared" si="12"/>
        <v>Consultation - PhoneReview current governance processes. Discuss the issues driving the need for change. Create/update your governance charter.</v>
      </c>
      <c r="D812" t="s">
        <v>1078</v>
      </c>
      <c r="E812" t="s">
        <v>1079</v>
      </c>
    </row>
    <row r="813" spans="1:5" x14ac:dyDescent="0.35">
      <c r="A813" t="s">
        <v>9</v>
      </c>
      <c r="B813" t="s">
        <v>1087</v>
      </c>
      <c r="C813" t="str">
        <f t="shared" si="12"/>
        <v>Consultation - PhoneWorking session around:</v>
      </c>
      <c r="D813" t="s">
        <v>1088</v>
      </c>
      <c r="E813" t="s">
        <v>526</v>
      </c>
    </row>
    <row r="814" spans="1:5" x14ac:dyDescent="0.35">
      <c r="A814" t="s">
        <v>9</v>
      </c>
      <c r="B814" t="s">
        <v>1092</v>
      </c>
      <c r="C814" t="str">
        <f t="shared" si="12"/>
        <v>Consultation - PhoneCreating an effective IT investment council (also known as "IT governance council") to maximize the value of investments involving IT.</v>
      </c>
      <c r="D814" t="s">
        <v>1093</v>
      </c>
      <c r="E814" t="s">
        <v>526</v>
      </c>
    </row>
    <row r="815" spans="1:5" x14ac:dyDescent="0.35">
      <c r="A815" t="s">
        <v>9</v>
      </c>
      <c r="B815" t="s">
        <v>1099</v>
      </c>
      <c r="C815" t="str">
        <f t="shared" si="12"/>
        <v>Consultation - PhoneLeverage framework and steps to validate the IT governance design.</v>
      </c>
      <c r="D815" t="s">
        <v>1100</v>
      </c>
      <c r="E815" t="s">
        <v>1101</v>
      </c>
    </row>
    <row r="816" spans="1:5" x14ac:dyDescent="0.35">
      <c r="A816" t="s">
        <v>9</v>
      </c>
      <c r="B816" t="s">
        <v>1105</v>
      </c>
      <c r="C816" t="str">
        <f t="shared" si="12"/>
        <v>Consultation - PhoneReview IT Investment Council decisions &amp; implications.</v>
      </c>
    </row>
    <row r="817" spans="1:5" x14ac:dyDescent="0.35">
      <c r="A817" t="s">
        <v>9</v>
      </c>
      <c r="B817" t="s">
        <v>1113</v>
      </c>
      <c r="C817" t="str">
        <f t="shared" si="12"/>
        <v>Consultation - PhonePerform ITScore assessment to diagnose gaps in the governance processes.</v>
      </c>
      <c r="D817" t="s">
        <v>1114</v>
      </c>
      <c r="E817" t="s">
        <v>1115</v>
      </c>
    </row>
    <row r="818" spans="1:5" x14ac:dyDescent="0.35">
      <c r="A818" t="s">
        <v>9</v>
      </c>
      <c r="B818" t="s">
        <v>1133</v>
      </c>
      <c r="C818" t="str">
        <f t="shared" si="12"/>
        <v>Consultation - PhoneDiscuss strategy development to build an ecosystem and reshape IT to implement continuous delivery.</v>
      </c>
      <c r="D818" t="s">
        <v>1134</v>
      </c>
      <c r="E818" t="s">
        <v>1135</v>
      </c>
    </row>
    <row r="819" spans="1:5" x14ac:dyDescent="0.35">
      <c r="A819" t="s">
        <v>9</v>
      </c>
      <c r="B819" t="s">
        <v>1145</v>
      </c>
      <c r="C819" t="str">
        <f t="shared" si="12"/>
        <v>Consultation - PhoneConsult on how to lead and enable change.</v>
      </c>
      <c r="D819" t="s">
        <v>1146</v>
      </c>
      <c r="E819" t="s">
        <v>1140</v>
      </c>
    </row>
    <row r="820" spans="1:5" x14ac:dyDescent="0.35">
      <c r="A820" t="s">
        <v>9</v>
      </c>
      <c r="B820" t="s">
        <v>1150</v>
      </c>
      <c r="C820" t="str">
        <f t="shared" si="12"/>
        <v>Consultation - PhoneRepeat ITScore and benchmark against prior year.</v>
      </c>
    </row>
    <row r="821" spans="1:5" x14ac:dyDescent="0.35">
      <c r="A821" t="s">
        <v>9</v>
      </c>
      <c r="B821" t="s">
        <v>1151</v>
      </c>
      <c r="C821" t="str">
        <f t="shared" si="12"/>
        <v>Consultation - PhoneLeverage IT Score for BCM to establish a baseline assessment.</v>
      </c>
    </row>
    <row r="822" spans="1:5" x14ac:dyDescent="0.35">
      <c r="A822" t="s">
        <v>9</v>
      </c>
      <c r="B822" t="s">
        <v>1154</v>
      </c>
      <c r="C822" t="str">
        <f t="shared" si="12"/>
        <v>Consultation - PhoneWorking session to plan a business impact analysis approach.</v>
      </c>
    </row>
    <row r="823" spans="1:5" x14ac:dyDescent="0.35">
      <c r="A823" t="s">
        <v>9</v>
      </c>
      <c r="B823" t="s">
        <v>1160</v>
      </c>
      <c r="C823" t="str">
        <f t="shared" si="12"/>
        <v>Consultation - PhoneAlign with the Cybersecurity team on response and recovery processes.</v>
      </c>
      <c r="D823" t="s">
        <v>1161</v>
      </c>
      <c r="E823" t="s">
        <v>1162</v>
      </c>
    </row>
    <row r="824" spans="1:5" x14ac:dyDescent="0.35">
      <c r="A824" t="s">
        <v>9</v>
      </c>
      <c r="B824" t="s">
        <v>1174</v>
      </c>
      <c r="C824" t="str">
        <f t="shared" si="12"/>
        <v>Consultation - PhoneDiscuss the vision and goals for future state infrastructure model. Plan next steps.</v>
      </c>
    </row>
    <row r="825" spans="1:5" x14ac:dyDescent="0.35">
      <c r="A825" t="s">
        <v>9</v>
      </c>
      <c r="B825" t="s">
        <v>1182</v>
      </c>
      <c r="C825" t="str">
        <f t="shared" si="12"/>
        <v>Consultation - PhoneConsult your Executive Partner in the preparation and planning phase of Data Center migration. Leverage research to address commonly overlooked areas.</v>
      </c>
      <c r="D825" t="s">
        <v>1183</v>
      </c>
      <c r="E825" t="s">
        <v>1184</v>
      </c>
    </row>
    <row r="826" spans="1:5" x14ac:dyDescent="0.35">
      <c r="A826" t="s">
        <v>9</v>
      </c>
      <c r="B826" t="s">
        <v>1200</v>
      </c>
      <c r="C826" t="str">
        <f t="shared" si="12"/>
        <v xml:space="preserve">Consultation - PhoneAssess Data Center Migration results to date. Identify areas for future Gartner analyst support.
</v>
      </c>
    </row>
    <row r="827" spans="1:5" x14ac:dyDescent="0.35">
      <c r="A827" t="s">
        <v>9</v>
      </c>
      <c r="B827" t="s">
        <v>1205</v>
      </c>
      <c r="C827" t="str">
        <f t="shared" si="12"/>
        <v>Consultation - PhoneAssess Data Center Migration results to date. Identify areas for future Gartner analyst support.</v>
      </c>
    </row>
    <row r="828" spans="1:5" x14ac:dyDescent="0.35">
      <c r="A828" t="s">
        <v>9</v>
      </c>
      <c r="B828" t="s">
        <v>1214</v>
      </c>
      <c r="C828" t="str">
        <f t="shared" si="12"/>
        <v xml:space="preserve">Consultation - PhonePrepare for an informal assessment using: </v>
      </c>
      <c r="D828" t="s">
        <v>1215</v>
      </c>
      <c r="E828" t="s">
        <v>1216</v>
      </c>
    </row>
    <row r="829" spans="1:5" x14ac:dyDescent="0.35">
      <c r="A829" t="s">
        <v>9</v>
      </c>
      <c r="B829" t="s">
        <v>1222</v>
      </c>
      <c r="C829" t="str">
        <f t="shared" si="12"/>
        <v>Consultation - PhoneDiscuss opportunities to modernize tools.</v>
      </c>
      <c r="D829" t="s">
        <v>1223</v>
      </c>
      <c r="E829" t="s">
        <v>1224</v>
      </c>
    </row>
    <row r="830" spans="1:5" x14ac:dyDescent="0.35">
      <c r="A830" t="s">
        <v>9</v>
      </c>
      <c r="B830" t="s">
        <v>1228</v>
      </c>
      <c r="C830" t="str">
        <f t="shared" si="12"/>
        <v>Consultation - PhoneBimodal in the context of Integration Strategy</v>
      </c>
      <c r="D830" t="s">
        <v>1229</v>
      </c>
      <c r="E830" t="s">
        <v>1230</v>
      </c>
    </row>
    <row r="831" spans="1:5" x14ac:dyDescent="0.35">
      <c r="A831" t="s">
        <v>9</v>
      </c>
      <c r="B831" t="s">
        <v>1236</v>
      </c>
      <c r="C831" t="str">
        <f t="shared" si="12"/>
        <v>Consultation - PhoneRedo maturity assessment.</v>
      </c>
    </row>
    <row r="832" spans="1:5" x14ac:dyDescent="0.35">
      <c r="A832" t="s">
        <v>9</v>
      </c>
      <c r="B832" t="s">
        <v>1240</v>
      </c>
      <c r="C832" t="str">
        <f t="shared" si="12"/>
        <v xml:space="preserve">Consultation - PhonePerform ITScore assessment. Discuss current state, future state vision &amp; identify gaps. </v>
      </c>
      <c r="D832" t="s">
        <v>1241</v>
      </c>
      <c r="E832" t="s">
        <v>1242</v>
      </c>
    </row>
    <row r="833" spans="1:5" x14ac:dyDescent="0.35">
      <c r="A833" t="s">
        <v>9</v>
      </c>
      <c r="B833" t="s">
        <v>1257</v>
      </c>
      <c r="C833" t="str">
        <f t="shared" si="12"/>
        <v>Consultation - PhoneDiscuss potential improvement to the resource capacity planning process.</v>
      </c>
      <c r="D833" t="s">
        <v>1258</v>
      </c>
      <c r="E833" t="s">
        <v>1259</v>
      </c>
    </row>
    <row r="834" spans="1:5" x14ac:dyDescent="0.35">
      <c r="A834" t="s">
        <v>9</v>
      </c>
      <c r="B834" t="s">
        <v>1262</v>
      </c>
      <c r="C834" t="str">
        <f t="shared" si="12"/>
        <v>Consultation - PhoneConsult on team management strategies to deliver maximum business value.</v>
      </c>
      <c r="D834" t="s">
        <v>1263</v>
      </c>
      <c r="E834" t="s">
        <v>1264</v>
      </c>
    </row>
    <row r="835" spans="1:5" x14ac:dyDescent="0.35">
      <c r="A835" t="s">
        <v>9</v>
      </c>
      <c r="B835" t="s">
        <v>1276</v>
      </c>
      <c r="C835" t="str">
        <f t="shared" ref="C835:C898" si="13">CONCATENATE(A835,B835)</f>
        <v>Consultation - PhoneTrack progress. Identify research interests and analyst calls for the next 90 days.</v>
      </c>
    </row>
    <row r="836" spans="1:5" x14ac:dyDescent="0.35">
      <c r="A836" t="s">
        <v>9</v>
      </c>
      <c r="B836" t="s">
        <v>1279</v>
      </c>
      <c r="C836" t="str">
        <f t="shared" si="13"/>
        <v>Consultation - PhoneRe-run the ITScore. Review progress.</v>
      </c>
    </row>
    <row r="837" spans="1:5" x14ac:dyDescent="0.35">
      <c r="A837" t="s">
        <v>9</v>
      </c>
      <c r="B837" t="s">
        <v>1280</v>
      </c>
      <c r="C837" t="str">
        <f t="shared" si="13"/>
        <v xml:space="preserve">Consultation - PhoneWalk through Gartner's ITScore assessment tool to identify the current state of Vendor Management maturity. </v>
      </c>
      <c r="D837" t="s">
        <v>1281</v>
      </c>
      <c r="E837" t="s">
        <v>1282</v>
      </c>
    </row>
    <row r="838" spans="1:5" x14ac:dyDescent="0.35">
      <c r="A838" t="s">
        <v>9</v>
      </c>
      <c r="B838" t="s">
        <v>1295</v>
      </c>
      <c r="C838" t="str">
        <f t="shared" si="13"/>
        <v>Consultation - PhoneDiscussion around how to educate and influence key stakeholders to adopt critical vendor management policies and processes.</v>
      </c>
      <c r="D838" t="s">
        <v>1296</v>
      </c>
      <c r="E838" t="s">
        <v>1297</v>
      </c>
    </row>
    <row r="839" spans="1:5" x14ac:dyDescent="0.35">
      <c r="A839" t="s">
        <v>9</v>
      </c>
      <c r="B839" t="s">
        <v>1308</v>
      </c>
      <c r="C839" t="str">
        <f t="shared" si="13"/>
        <v>Consultation - PhoneChallenges facing IT Sourcing and Vendor Management leaders.</v>
      </c>
      <c r="D839" t="s">
        <v>1309</v>
      </c>
      <c r="E839" t="s">
        <v>1310</v>
      </c>
    </row>
    <row r="840" spans="1:5" x14ac:dyDescent="0.35">
      <c r="A840" t="s">
        <v>9</v>
      </c>
      <c r="B840" t="s">
        <v>1315</v>
      </c>
      <c r="C840" t="str">
        <f t="shared" si="13"/>
        <v>Consultation - PhoneRe-run the ITScore assessment. Identify opportunities and draft a plan for next steps.</v>
      </c>
    </row>
    <row r="841" spans="1:5" x14ac:dyDescent="0.35">
      <c r="A841" t="s">
        <v>9</v>
      </c>
      <c r="B841" t="s">
        <v>1320</v>
      </c>
      <c r="C841" t="str">
        <f t="shared" si="13"/>
        <v>Consultation - PhoneDiscuss digital ambition of the enterprise. Is the aim to optimize and/or introduce new business models? Develop roadmap accordingly.</v>
      </c>
      <c r="D841" t="s">
        <v>1321</v>
      </c>
      <c r="E841" t="s">
        <v>1322</v>
      </c>
    </row>
    <row r="842" spans="1:5" x14ac:dyDescent="0.35">
      <c r="A842" t="s">
        <v>9</v>
      </c>
      <c r="B842" t="s">
        <v>1342</v>
      </c>
      <c r="C842" t="str">
        <f t="shared" si="13"/>
        <v>Consultation - PhoneDiscuss how the organizational structure must evolve and change for a digital future. Review different type of structures and pros and cons of each.</v>
      </c>
      <c r="D842" t="s">
        <v>31</v>
      </c>
      <c r="E842" t="s">
        <v>32</v>
      </c>
    </row>
    <row r="843" spans="1:5" x14ac:dyDescent="0.35">
      <c r="A843" t="s">
        <v>9</v>
      </c>
      <c r="B843" t="s">
        <v>1343</v>
      </c>
      <c r="C843" t="str">
        <f t="shared" si="13"/>
        <v>Consultation - PhoneReview communication strategy on digital and leverage 15 board-ready presentations for upcoming meetings.</v>
      </c>
      <c r="D843" t="s">
        <v>1344</v>
      </c>
      <c r="E843" t="s">
        <v>1345</v>
      </c>
    </row>
    <row r="844" spans="1:5" x14ac:dyDescent="0.35">
      <c r="A844" t="s">
        <v>9</v>
      </c>
      <c r="B844" t="s">
        <v>1362</v>
      </c>
      <c r="C844" t="str">
        <f t="shared" si="13"/>
        <v>Consultation - PhoneLeverage 2019 CIO Survey Peer Report as input to a digital strategy refresh.</v>
      </c>
    </row>
    <row r="845" spans="1:5" x14ac:dyDescent="0.35">
      <c r="A845" t="s">
        <v>9</v>
      </c>
      <c r="B845" t="s">
        <v>1363</v>
      </c>
      <c r="C845" t="str">
        <f t="shared" si="13"/>
        <v>Consultation - PhoneDiscuss challenges with transformation activities – e.g. lack of stakeholder engagement, conflicting priorities, and funding etc.</v>
      </c>
    </row>
    <row r="846" spans="1:5" x14ac:dyDescent="0.35">
      <c r="A846" t="s">
        <v>9</v>
      </c>
      <c r="B846" t="s">
        <v>1364</v>
      </c>
      <c r="C846" t="str">
        <f t="shared" si="13"/>
        <v>Consultation - PhoneAnnual ITScore for strategy and execution.</v>
      </c>
      <c r="D846" t="s">
        <v>422</v>
      </c>
      <c r="E846" t="s">
        <v>461</v>
      </c>
    </row>
    <row r="847" spans="1:5" x14ac:dyDescent="0.35">
      <c r="A847" t="s">
        <v>9</v>
      </c>
      <c r="B847" t="s">
        <v>1365</v>
      </c>
      <c r="C847" t="str">
        <f t="shared" si="13"/>
        <v xml:space="preserve">Consultation - PhoneDiscuss digital progress and goals for scaling. Identify and prioritize areas that need adjustment to facilitate scaling. 
</v>
      </c>
      <c r="D847" t="s">
        <v>1366</v>
      </c>
      <c r="E847" t="s">
        <v>1367</v>
      </c>
    </row>
    <row r="848" spans="1:5" x14ac:dyDescent="0.35">
      <c r="A848" t="s">
        <v>9</v>
      </c>
      <c r="B848" t="s">
        <v>1368</v>
      </c>
      <c r="C848" t="str">
        <f t="shared" si="13"/>
        <v>Consultation - PhoneDiscuss goals for scaling. Identify areas that need adjustment to facilitate scaling.</v>
      </c>
    </row>
    <row r="849" spans="1:5" x14ac:dyDescent="0.35">
      <c r="A849" t="s">
        <v>9</v>
      </c>
      <c r="B849" t="s">
        <v>1380</v>
      </c>
      <c r="C849" t="str">
        <f t="shared" si="13"/>
        <v>Consultation - PhoneDiscussion on the funding status of digital business initiatives.</v>
      </c>
      <c r="D849" t="s">
        <v>1381</v>
      </c>
      <c r="E849" t="s">
        <v>1382</v>
      </c>
    </row>
    <row r="850" spans="1:5" x14ac:dyDescent="0.35">
      <c r="A850" t="s">
        <v>9</v>
      </c>
      <c r="B850" t="s">
        <v>1383</v>
      </c>
      <c r="C850" t="str">
        <f t="shared" si="13"/>
        <v xml:space="preserve">Consultation - PhoneReview the funding status of digital business initiatives and help build business case. </v>
      </c>
      <c r="D850" t="s">
        <v>1381</v>
      </c>
      <c r="E850" t="s">
        <v>1382</v>
      </c>
    </row>
    <row r="851" spans="1:5" x14ac:dyDescent="0.35">
      <c r="A851" t="s">
        <v>9</v>
      </c>
      <c r="B851" t="s">
        <v>1398</v>
      </c>
      <c r="C851" t="str">
        <f t="shared" si="13"/>
        <v xml:space="preserve">Consultation - PhoneReview communication strategy on digital and leverage 15 board-ready presentations. </v>
      </c>
      <c r="D851" t="s">
        <v>1344</v>
      </c>
      <c r="E851" t="s">
        <v>1345</v>
      </c>
    </row>
    <row r="852" spans="1:5" x14ac:dyDescent="0.35">
      <c r="A852" t="s">
        <v>9</v>
      </c>
      <c r="B852" t="s">
        <v>1402</v>
      </c>
      <c r="C852" t="str">
        <f t="shared" si="13"/>
        <v>Consultation - PhoneDevelop metrics and set goals that lay out the digital business journey and sharpen expected business outcomes.</v>
      </c>
      <c r="D852" t="s">
        <v>539</v>
      </c>
      <c r="E852" t="s">
        <v>1403</v>
      </c>
    </row>
    <row r="853" spans="1:5" x14ac:dyDescent="0.35">
      <c r="A853" t="s">
        <v>9</v>
      </c>
      <c r="B853" t="s">
        <v>1407</v>
      </c>
      <c r="C853" t="str">
        <f t="shared" si="13"/>
        <v xml:space="preserve">Consultation - PhoneReview latest digital technologies being used to scale business models, services and experiences. 
</v>
      </c>
      <c r="D853" t="s">
        <v>1408</v>
      </c>
      <c r="E853" t="s">
        <v>1356</v>
      </c>
    </row>
    <row r="854" spans="1:5" x14ac:dyDescent="0.35">
      <c r="A854" t="s">
        <v>9</v>
      </c>
      <c r="B854" t="s">
        <v>1417</v>
      </c>
      <c r="C854" t="str">
        <f t="shared" si="13"/>
        <v xml:space="preserve">Consultation - PhoneReview progress on digital and plan ahead.
</v>
      </c>
    </row>
    <row r="855" spans="1:5" x14ac:dyDescent="0.35">
      <c r="A855" t="s">
        <v>9</v>
      </c>
      <c r="B855" t="s">
        <v>1418</v>
      </c>
      <c r="C855" t="str">
        <f t="shared" si="13"/>
        <v>Consultation - PhoneDiscuss digital ambition and evaluate the level of digital readiness for transformation.</v>
      </c>
      <c r="D855" t="s">
        <v>1326</v>
      </c>
      <c r="E855" t="s">
        <v>1327</v>
      </c>
    </row>
    <row r="856" spans="1:5" x14ac:dyDescent="0.35">
      <c r="A856" t="s">
        <v>9</v>
      </c>
      <c r="B856" t="s">
        <v>1432</v>
      </c>
      <c r="C856" t="str">
        <f t="shared" si="13"/>
        <v>Consultation - PhoneIdentify and prioritize opportunities for enterprise-wide investments. Read first:</v>
      </c>
      <c r="D856" t="s">
        <v>1433</v>
      </c>
      <c r="E856" t="s">
        <v>1434</v>
      </c>
    </row>
    <row r="857" spans="1:5" x14ac:dyDescent="0.35">
      <c r="A857" t="s">
        <v>9</v>
      </c>
      <c r="B857" t="s">
        <v>1445</v>
      </c>
      <c r="C857" t="str">
        <f t="shared" si="13"/>
        <v>Consultation - PhoneTrack progress and explore building cross-government alliances and engaging the executive leadership to scale the impact of digital.</v>
      </c>
      <c r="D857" t="s">
        <v>1446</v>
      </c>
      <c r="E857" t="s">
        <v>1447</v>
      </c>
    </row>
    <row r="858" spans="1:5" x14ac:dyDescent="0.35">
      <c r="A858" t="s">
        <v>9</v>
      </c>
      <c r="B858" t="s">
        <v>1454</v>
      </c>
      <c r="C858" t="str">
        <f t="shared" si="13"/>
        <v>Consultation - PhoneDiscussion on digital business ambition.</v>
      </c>
      <c r="D858" t="s">
        <v>1326</v>
      </c>
      <c r="E858" t="s">
        <v>1327</v>
      </c>
    </row>
    <row r="859" spans="1:5" x14ac:dyDescent="0.35">
      <c r="A859" t="s">
        <v>9</v>
      </c>
      <c r="B859" t="s">
        <v>1474</v>
      </c>
      <c r="C859" t="str">
        <f t="shared" si="13"/>
        <v>Consultation - PhoneGartner's ITBudget Tool with IT service costing.</v>
      </c>
      <c r="D859" t="s">
        <v>1475</v>
      </c>
      <c r="E859" t="s">
        <v>656</v>
      </c>
    </row>
    <row r="860" spans="1:5" x14ac:dyDescent="0.35">
      <c r="A860" t="s">
        <v>9</v>
      </c>
      <c r="B860" t="s">
        <v>1488</v>
      </c>
      <c r="C860" t="str">
        <f t="shared" si="13"/>
        <v>Consultation - PhonePrioritizing IT Financial management actions.</v>
      </c>
      <c r="D860" t="s">
        <v>1489</v>
      </c>
      <c r="E860" t="s">
        <v>1490</v>
      </c>
    </row>
    <row r="861" spans="1:5" x14ac:dyDescent="0.35">
      <c r="A861" t="s">
        <v>9</v>
      </c>
      <c r="B861" t="s">
        <v>1504</v>
      </c>
      <c r="C861" t="str">
        <f t="shared" si="13"/>
        <v>Consultation - PhoneReview progress. Plan next steps.</v>
      </c>
      <c r="D861" t="s">
        <v>1505</v>
      </c>
      <c r="E861" t="s">
        <v>1506</v>
      </c>
    </row>
    <row r="862" spans="1:5" x14ac:dyDescent="0.35">
      <c r="A862" t="s">
        <v>9</v>
      </c>
      <c r="B862" t="s">
        <v>1507</v>
      </c>
      <c r="C862" t="str">
        <f t="shared" si="13"/>
        <v>Consultation - PhoneDiscuss I&amp;O ITScore as a input into DevOps planning and prioritization.</v>
      </c>
      <c r="D862" t="s">
        <v>1176</v>
      </c>
      <c r="E862" t="s">
        <v>1177</v>
      </c>
    </row>
    <row r="863" spans="1:5" x14ac:dyDescent="0.35">
      <c r="A863" t="s">
        <v>9</v>
      </c>
      <c r="B863" t="s">
        <v>1521</v>
      </c>
      <c r="C863" t="str">
        <f t="shared" si="13"/>
        <v>Consultation - PhoneDiscuss experience-based knowledge to address challenges and fill knowledge and execution gaps.</v>
      </c>
      <c r="D863" t="s">
        <v>1522</v>
      </c>
      <c r="E863" t="s">
        <v>1523</v>
      </c>
    </row>
    <row r="864" spans="1:5" x14ac:dyDescent="0.35">
      <c r="A864" t="s">
        <v>9</v>
      </c>
      <c r="B864" t="s">
        <v>1533</v>
      </c>
      <c r="C864" t="str">
        <f t="shared" si="13"/>
        <v>Consultation - PhoneMetrics for Devops.</v>
      </c>
      <c r="D864" t="s">
        <v>1534</v>
      </c>
      <c r="E864" t="s">
        <v>1535</v>
      </c>
    </row>
    <row r="865" spans="1:5" x14ac:dyDescent="0.35">
      <c r="A865" t="s">
        <v>9</v>
      </c>
      <c r="B865" t="s">
        <v>1536</v>
      </c>
      <c r="C865" t="str">
        <f t="shared" si="13"/>
        <v>Consultation - PhoneIntroduce IT Score for Program and Portfolio Management.</v>
      </c>
      <c r="D865" t="s">
        <v>1537</v>
      </c>
      <c r="E865" t="s">
        <v>1538</v>
      </c>
    </row>
    <row r="866" spans="1:5" x14ac:dyDescent="0.35">
      <c r="A866" t="s">
        <v>9</v>
      </c>
      <c r="B866" t="s">
        <v>1539</v>
      </c>
      <c r="C866" t="str">
        <f t="shared" si="13"/>
        <v>Consultation - PhoneTake four key steps to choose and set up the best type of PMO for your organization.</v>
      </c>
      <c r="D866" t="s">
        <v>1540</v>
      </c>
      <c r="E866" t="s">
        <v>1541</v>
      </c>
    </row>
    <row r="867" spans="1:5" x14ac:dyDescent="0.35">
      <c r="A867" t="s">
        <v>9</v>
      </c>
      <c r="B867" t="s">
        <v>1542</v>
      </c>
      <c r="C867" t="str">
        <f t="shared" si="13"/>
        <v>Consultation - PhoneIntroduce the ITScore to assess PPM Maturity.</v>
      </c>
      <c r="D867" t="s">
        <v>1537</v>
      </c>
      <c r="E867" t="s">
        <v>1538</v>
      </c>
    </row>
    <row r="868" spans="1:5" x14ac:dyDescent="0.35">
      <c r="A868" t="s">
        <v>9</v>
      </c>
      <c r="B868" t="s">
        <v>1554</v>
      </c>
      <c r="C868" t="str">
        <f t="shared" si="13"/>
        <v>Consultation - PhoneIdentify skills gaps and opportunities for skills development.</v>
      </c>
      <c r="D868" t="s">
        <v>1555</v>
      </c>
      <c r="E868" t="s">
        <v>1556</v>
      </c>
    </row>
    <row r="869" spans="1:5" x14ac:dyDescent="0.35">
      <c r="A869" t="s">
        <v>9</v>
      </c>
      <c r="B869" t="s">
        <v>1560</v>
      </c>
      <c r="C869" t="str">
        <f t="shared" si="13"/>
        <v>Consultation - PhoneDiscuss approach to improve the value proposition and impact of the EA program. Read first:</v>
      </c>
      <c r="D869" t="s">
        <v>1561</v>
      </c>
      <c r="E869" t="s">
        <v>1562</v>
      </c>
    </row>
    <row r="870" spans="1:5" x14ac:dyDescent="0.35">
      <c r="A870" t="s">
        <v>9</v>
      </c>
      <c r="B870" t="s">
        <v>1576</v>
      </c>
      <c r="C870" t="str">
        <f t="shared" si="13"/>
        <v xml:space="preserve">Consultation - PhoneConsult on engaging application architects to clarify boundaries, provide context and enable line of sight between strategy and execution. </v>
      </c>
      <c r="D870" t="s">
        <v>1577</v>
      </c>
      <c r="E870" t="s">
        <v>1578</v>
      </c>
    </row>
    <row r="871" spans="1:5" x14ac:dyDescent="0.35">
      <c r="A871" t="s">
        <v>9</v>
      </c>
      <c r="B871" t="s">
        <v>1582</v>
      </c>
      <c r="C871" t="str">
        <f t="shared" si="13"/>
        <v>Consultation - PhoneConsult to elicit stakeholder concerns in a structured way and drive better decision making.</v>
      </c>
      <c r="D871" t="s">
        <v>1583</v>
      </c>
      <c r="E871" t="s">
        <v>1584</v>
      </c>
    </row>
    <row r="872" spans="1:5" x14ac:dyDescent="0.35">
      <c r="A872" t="s">
        <v>9</v>
      </c>
      <c r="B872" t="s">
        <v>1591</v>
      </c>
      <c r="C872" t="str">
        <f t="shared" si="13"/>
        <v>Consultation - PhoneConsult to identify and track the degree to which the organization can reverse investment commitments in the event of disruption.</v>
      </c>
    </row>
    <row r="873" spans="1:5" x14ac:dyDescent="0.35">
      <c r="A873" t="s">
        <v>9</v>
      </c>
      <c r="B873" t="s">
        <v>1592</v>
      </c>
      <c r="C873" t="str">
        <f t="shared" si="13"/>
        <v>Consultation - PhonePlan for the next  ITScore assessment. Measure progress.</v>
      </c>
    </row>
    <row r="874" spans="1:5" x14ac:dyDescent="0.35">
      <c r="A874" t="s">
        <v>9</v>
      </c>
      <c r="B874" t="s">
        <v>1599</v>
      </c>
      <c r="C874" t="str">
        <f t="shared" si="13"/>
        <v>Consultation - PhoneRetake ITScore assessment: track progress, identify opportunities and draft a plan for next steps.</v>
      </c>
    </row>
    <row r="875" spans="1:5" x14ac:dyDescent="0.35">
      <c r="A875" t="s">
        <v>9</v>
      </c>
      <c r="B875" t="s">
        <v>1600</v>
      </c>
      <c r="C875" t="str">
        <f t="shared" si="13"/>
        <v>Consultation - PhoneIntroduce the Gartner tools available for IAM assessment.</v>
      </c>
      <c r="D875" t="s">
        <v>1601</v>
      </c>
      <c r="E875" t="s">
        <v>1602</v>
      </c>
    </row>
    <row r="876" spans="1:5" x14ac:dyDescent="0.35">
      <c r="A876" t="s">
        <v>9</v>
      </c>
      <c r="B876" t="s">
        <v>1605</v>
      </c>
      <c r="C876" t="str">
        <f t="shared" si="13"/>
        <v>Consultation - PhoneBusiness case review.</v>
      </c>
      <c r="D876" t="s">
        <v>1606</v>
      </c>
      <c r="E876" t="s">
        <v>1607</v>
      </c>
    </row>
    <row r="877" spans="1:5" x14ac:dyDescent="0.35">
      <c r="A877" t="s">
        <v>9</v>
      </c>
      <c r="B877" t="s">
        <v>1615</v>
      </c>
      <c r="C877" t="str">
        <f t="shared" si="13"/>
        <v>Consultation - PhoneReview IAM metrics.</v>
      </c>
      <c r="D877" t="s">
        <v>1616</v>
      </c>
      <c r="E877" t="s">
        <v>1617</v>
      </c>
    </row>
    <row r="878" spans="1:5" x14ac:dyDescent="0.35">
      <c r="A878" t="s">
        <v>9</v>
      </c>
      <c r="B878" t="s">
        <v>1619</v>
      </c>
      <c r="C878" t="str">
        <f t="shared" si="13"/>
        <v>Consultation - PhoneEnd of year review: Update metrics scores, compare with benchmarks. Identify challenges and roadblocks. Plan ahead.</v>
      </c>
    </row>
    <row r="879" spans="1:5" x14ac:dyDescent="0.35">
      <c r="A879" t="s">
        <v>9</v>
      </c>
      <c r="B879" t="s">
        <v>1620</v>
      </c>
      <c r="C879" t="str">
        <f t="shared" si="13"/>
        <v>Consultation - PhoneDiscuss vision and goals for digital transformation. Complete digital urgency assessment.</v>
      </c>
      <c r="D879" t="s">
        <v>1621</v>
      </c>
      <c r="E879" t="s">
        <v>1322</v>
      </c>
    </row>
    <row r="880" spans="1:5" x14ac:dyDescent="0.35">
      <c r="A880" t="s">
        <v>9</v>
      </c>
      <c r="B880" t="s">
        <v>1641</v>
      </c>
      <c r="C880" t="str">
        <f t="shared" si="13"/>
        <v>Consultation - PhoneReview IT Key Metrics data. Discuss areas which show variation from industry standards.</v>
      </c>
      <c r="D880" t="s">
        <v>1626</v>
      </c>
      <c r="E880" t="s">
        <v>1642</v>
      </c>
    </row>
    <row r="881" spans="1:5" x14ac:dyDescent="0.35">
      <c r="A881" t="s">
        <v>9</v>
      </c>
      <c r="B881" t="s">
        <v>1643</v>
      </c>
      <c r="C881" t="str">
        <f t="shared" si="13"/>
        <v>Consultation - PhoneReview progress. Discuss next steps.</v>
      </c>
    </row>
    <row r="882" spans="1:5" x14ac:dyDescent="0.35">
      <c r="A882" t="s">
        <v>9</v>
      </c>
      <c r="B882" t="s">
        <v>1644</v>
      </c>
      <c r="C882" t="str">
        <f t="shared" si="13"/>
        <v>Consultation - PhoneReview the engagement and plan and the scope of Digital Business Optimization</v>
      </c>
    </row>
    <row r="883" spans="1:5" x14ac:dyDescent="0.35">
      <c r="A883" t="s">
        <v>9</v>
      </c>
      <c r="B883" t="s">
        <v>1645</v>
      </c>
      <c r="C883" t="str">
        <f t="shared" si="13"/>
        <v xml:space="preserve">Consultation - PhoneDiscuss vision and goals for digital transformation. Complete digital urgency assessment. </v>
      </c>
      <c r="D883" t="s">
        <v>1621</v>
      </c>
      <c r="E883" t="s">
        <v>1322</v>
      </c>
    </row>
    <row r="884" spans="1:5" x14ac:dyDescent="0.35">
      <c r="A884" t="s">
        <v>9</v>
      </c>
      <c r="B884" t="s">
        <v>1656</v>
      </c>
      <c r="C884" t="str">
        <f t="shared" si="13"/>
        <v>Consultation - PhoneOn cross-industry exposure and agile development to compete and expand value.</v>
      </c>
      <c r="D884" t="s">
        <v>1657</v>
      </c>
      <c r="E884" t="s">
        <v>1658</v>
      </c>
    </row>
    <row r="885" spans="1:5" x14ac:dyDescent="0.35">
      <c r="A885" t="s">
        <v>9</v>
      </c>
      <c r="B885" t="s">
        <v>1669</v>
      </c>
      <c r="C885" t="str">
        <f t="shared" si="13"/>
        <v>Consultation - PhoneYear-end assessment: Review progress, celebrate achievements, identify gaps and plan next steps.</v>
      </c>
    </row>
    <row r="886" spans="1:5" x14ac:dyDescent="0.35">
      <c r="A886" t="s">
        <v>9</v>
      </c>
      <c r="B886" t="s">
        <v>1670</v>
      </c>
      <c r="C886" t="str">
        <f t="shared" si="13"/>
        <v>Consultation - PhoneSession to assess progress and plan for the next year engagement</v>
      </c>
    </row>
    <row r="887" spans="1:5" x14ac:dyDescent="0.35">
      <c r="A887" t="s">
        <v>9</v>
      </c>
      <c r="B887" t="s">
        <v>1677</v>
      </c>
      <c r="C887" t="str">
        <f t="shared" si="13"/>
        <v xml:space="preserve">Consultation - PhoneConsult on how to use infonomics to provide a financial analysis of the assets and liabilities for datasets. </v>
      </c>
      <c r="D887" t="s">
        <v>1029</v>
      </c>
      <c r="E887" t="s">
        <v>1678</v>
      </c>
    </row>
    <row r="888" spans="1:5" x14ac:dyDescent="0.35">
      <c r="A888" t="s">
        <v>9</v>
      </c>
      <c r="B888" t="s">
        <v>1686</v>
      </c>
      <c r="C888" t="str">
        <f t="shared" si="13"/>
        <v>Consultation - PhoneConsult on how to prioritize data assets for enterprisewide encryption to mitigate security threats and compliance requirements.</v>
      </c>
      <c r="D888" t="s">
        <v>1687</v>
      </c>
      <c r="E888" t="s">
        <v>1688</v>
      </c>
    </row>
    <row r="889" spans="1:5" x14ac:dyDescent="0.35">
      <c r="A889" t="s">
        <v>9</v>
      </c>
      <c r="B889" t="s">
        <v>1696</v>
      </c>
      <c r="C889" t="str">
        <f t="shared" si="13"/>
        <v xml:space="preserve">Consultation - PhoneConduct an exercise to determine organization's ability to respond to a cyberattack.  </v>
      </c>
      <c r="D889" t="s">
        <v>997</v>
      </c>
      <c r="E889" t="s">
        <v>1697</v>
      </c>
    </row>
    <row r="890" spans="1:5" x14ac:dyDescent="0.35">
      <c r="A890" t="s">
        <v>9</v>
      </c>
      <c r="B890" t="s">
        <v>1701</v>
      </c>
      <c r="C890" t="str">
        <f t="shared" si="13"/>
        <v>Consultation - PhoneConsult on how to make educated trade-offs in endpoint protection to achieve low overhead, low end-user impact and the best available protection.</v>
      </c>
      <c r="D890" t="s">
        <v>1702</v>
      </c>
      <c r="E890" t="s">
        <v>1703</v>
      </c>
    </row>
    <row r="891" spans="1:5" x14ac:dyDescent="0.35">
      <c r="A891" t="s">
        <v>9</v>
      </c>
      <c r="B891" t="s">
        <v>1710</v>
      </c>
      <c r="C891" t="str">
        <f t="shared" si="13"/>
        <v>Consultation - PhoneReview the progress made on strengthening data security. Plan for the next steps basis evolving threat landscape.</v>
      </c>
    </row>
    <row r="892" spans="1:5" x14ac:dyDescent="0.35">
      <c r="A892" t="s">
        <v>9</v>
      </c>
      <c r="B892" t="s">
        <v>1717</v>
      </c>
      <c r="C892" t="str">
        <f t="shared" si="13"/>
        <v xml:space="preserve">Consultation - PhoneConsult on best practices to improve agility, increase uptime and reduce operating costs within network architecture. </v>
      </c>
    </row>
    <row r="893" spans="1:5" x14ac:dyDescent="0.35">
      <c r="A893" t="s">
        <v>9</v>
      </c>
      <c r="B893" t="s">
        <v>1725</v>
      </c>
      <c r="C893" t="str">
        <f t="shared" si="13"/>
        <v>Consultation - PhoneHow to segment networks into logical blocks and evaluate multiple vendors for each.</v>
      </c>
      <c r="D893" t="s">
        <v>1726</v>
      </c>
      <c r="E893" t="s">
        <v>1727</v>
      </c>
    </row>
    <row r="894" spans="1:5" x14ac:dyDescent="0.35">
      <c r="A894" t="s">
        <v>9</v>
      </c>
      <c r="B894" t="s">
        <v>1743</v>
      </c>
      <c r="C894" t="str">
        <f t="shared" si="13"/>
        <v>Consultation - PhoneConsult on capabilities of the vendors providing network automation tools.</v>
      </c>
      <c r="D894" t="s">
        <v>1744</v>
      </c>
      <c r="E894" t="s">
        <v>1745</v>
      </c>
    </row>
    <row r="895" spans="1:5" x14ac:dyDescent="0.35">
      <c r="A895" t="s">
        <v>9</v>
      </c>
      <c r="B895" t="s">
        <v>1752</v>
      </c>
      <c r="C895" t="str">
        <f t="shared" si="13"/>
        <v>Consultation - PhoneReview progress and plan for future upgrades and evolution of network infrastructure.</v>
      </c>
    </row>
    <row r="896" spans="1:5" x14ac:dyDescent="0.35">
      <c r="A896" t="s">
        <v>9</v>
      </c>
      <c r="B896" t="s">
        <v>1762</v>
      </c>
      <c r="C896" t="str">
        <f t="shared" si="13"/>
        <v>Consultation - PhonePrioritize the disruptions with the potential to be most impactful to your business.</v>
      </c>
      <c r="D896" t="s">
        <v>1763</v>
      </c>
      <c r="E896" t="s">
        <v>1764</v>
      </c>
    </row>
    <row r="897" spans="1:5" x14ac:dyDescent="0.35">
      <c r="A897" t="s">
        <v>9</v>
      </c>
      <c r="B897" t="s">
        <v>1769</v>
      </c>
      <c r="C897" t="str">
        <f t="shared" si="13"/>
        <v>Consultation - PhoneDevelop willful disruption strategies to address the industry problems and limitations.</v>
      </c>
      <c r="D897" t="s">
        <v>1770</v>
      </c>
      <c r="E897" t="s">
        <v>1771</v>
      </c>
    </row>
    <row r="898" spans="1:5" x14ac:dyDescent="0.35">
      <c r="A898" t="s">
        <v>9</v>
      </c>
      <c r="B898" t="s">
        <v>1784</v>
      </c>
      <c r="C898" t="str">
        <f t="shared" si="13"/>
        <v>Consultation - PhoneDiscuss leadership insights from Smarter with Gartner.</v>
      </c>
      <c r="D898" t="s">
        <v>1785</v>
      </c>
      <c r="E898" t="s">
        <v>1786</v>
      </c>
    </row>
    <row r="899" spans="1:5" x14ac:dyDescent="0.35">
      <c r="A899" t="s">
        <v>9</v>
      </c>
      <c r="B899" t="s">
        <v>1790</v>
      </c>
      <c r="C899" t="str">
        <f t="shared" ref="C899:C962" si="14">CONCATENATE(A899,B899)</f>
        <v>Consultation - PhoneConsult on driving competitively important digital transformation leveraging ideas within and outside your industry.</v>
      </c>
      <c r="D899" t="s">
        <v>1791</v>
      </c>
      <c r="E899" t="s">
        <v>1792</v>
      </c>
    </row>
    <row r="900" spans="1:5" x14ac:dyDescent="0.35">
      <c r="A900" t="s">
        <v>9</v>
      </c>
      <c r="B900" t="s">
        <v>1813</v>
      </c>
      <c r="C900" t="str">
        <f t="shared" si="14"/>
        <v>Consultation - PhoneYear end review: Discuss achievements, identify roadblocks and plan next steps.</v>
      </c>
    </row>
    <row r="901" spans="1:5" x14ac:dyDescent="0.35">
      <c r="A901" t="s">
        <v>9</v>
      </c>
      <c r="B901" t="s">
        <v>1814</v>
      </c>
      <c r="C901" t="str">
        <f t="shared" si="14"/>
        <v xml:space="preserve">Consultation - PhoneEP discussion on taking your data security to the next phase. </v>
      </c>
    </row>
    <row r="902" spans="1:5" x14ac:dyDescent="0.35">
      <c r="A902" t="s">
        <v>9</v>
      </c>
      <c r="B902" t="s">
        <v>1815</v>
      </c>
      <c r="C902" t="str">
        <f t="shared" si="14"/>
        <v>Consultation - PhoneEP consultation on postmodern ERP for legacy applications</v>
      </c>
      <c r="D902" t="s">
        <v>1816</v>
      </c>
      <c r="E902" t="s">
        <v>1817</v>
      </c>
    </row>
    <row r="903" spans="1:5" x14ac:dyDescent="0.35">
      <c r="A903" t="s">
        <v>9</v>
      </c>
      <c r="B903" t="s">
        <v>1830</v>
      </c>
      <c r="C903" t="str">
        <f t="shared" si="14"/>
        <v>Consultation - PhoneYear-end review: Asses and discuss the progress on the project implementation. Plan for the next 60 days.</v>
      </c>
    </row>
    <row r="904" spans="1:5" x14ac:dyDescent="0.35">
      <c r="A904" t="s">
        <v>9</v>
      </c>
      <c r="B904" t="s">
        <v>1835</v>
      </c>
      <c r="C904" t="str">
        <f t="shared" si="14"/>
        <v>Consultation - PhoneInterview CEO and Business Stakeholders to understand role technology plays in the strategy and key competencies for CIO role.</v>
      </c>
    </row>
    <row r="905" spans="1:5" x14ac:dyDescent="0.35">
      <c r="A905" t="s">
        <v>9</v>
      </c>
      <c r="B905" t="s">
        <v>1836</v>
      </c>
      <c r="C905" t="str">
        <f t="shared" si="14"/>
        <v>Consultation - PhoneLeverage Gartner Executive Partner as an objective trusted advisor and sounding board for critical IT decisions and strategy design/implementation.</v>
      </c>
      <c r="D905" t="s">
        <v>1837</v>
      </c>
      <c r="E905" t="s">
        <v>1838</v>
      </c>
    </row>
    <row r="906" spans="1:5" x14ac:dyDescent="0.35">
      <c r="A906" t="s">
        <v>9</v>
      </c>
      <c r="B906" t="s">
        <v>1839</v>
      </c>
      <c r="C906" t="str">
        <f t="shared" si="14"/>
        <v>Consultation - PhoneProvide input on job description based on input to ensure it will attract the desired talent.</v>
      </c>
      <c r="D906" t="s">
        <v>1840</v>
      </c>
      <c r="E906" t="s">
        <v>1841</v>
      </c>
    </row>
    <row r="907" spans="1:5" x14ac:dyDescent="0.35">
      <c r="A907" t="s">
        <v>9</v>
      </c>
      <c r="B907" t="s">
        <v>1843</v>
      </c>
      <c r="C907" t="str">
        <f t="shared" si="14"/>
        <v>Consultation - PhoneLeverage Gartner Executive Partner to support search &amp; interview process e.g. sample questions, CIO scorecard for resume rating.</v>
      </c>
    </row>
    <row r="908" spans="1:5" x14ac:dyDescent="0.35">
      <c r="A908" t="s">
        <v>9</v>
      </c>
      <c r="B908" t="s">
        <v>1844</v>
      </c>
      <c r="C908" t="str">
        <f t="shared" si="14"/>
        <v>Consultation - PhoneOn using a network of operational relationships to create strategic opportunities for transforming the enterprise.</v>
      </c>
      <c r="D908" t="s">
        <v>1845</v>
      </c>
      <c r="E908" t="s">
        <v>1846</v>
      </c>
    </row>
    <row r="909" spans="1:5" x14ac:dyDescent="0.35">
      <c r="A909" t="s">
        <v>9</v>
      </c>
      <c r="B909" t="s">
        <v>1854</v>
      </c>
      <c r="C909" t="str">
        <f t="shared" si="14"/>
        <v>Consultation - PhoneLeverage Gartner Executive Partner to conduct reference checks for final candidates and provide feedback to CEO.</v>
      </c>
    </row>
    <row r="910" spans="1:5" x14ac:dyDescent="0.35">
      <c r="A910" t="s">
        <v>9</v>
      </c>
      <c r="B910" t="s">
        <v>1858</v>
      </c>
      <c r="C910" t="str">
        <f t="shared" si="14"/>
        <v>Consultation - PhoneNew CIO engagement with Gartner Executive Partner for accelerated CIO Onboarding/Assimilation.</v>
      </c>
    </row>
    <row r="911" spans="1:5" x14ac:dyDescent="0.35">
      <c r="A911" t="s">
        <v>9</v>
      </c>
      <c r="B911" t="s">
        <v>1859</v>
      </c>
      <c r="C911" t="str">
        <f t="shared" si="14"/>
        <v>Consultation - PhoneWork with Executive Partner to build a stakeholder map for strategic business initiatitves.</v>
      </c>
      <c r="D911" t="s">
        <v>1860</v>
      </c>
      <c r="E911" t="s">
        <v>1861</v>
      </c>
    </row>
    <row r="912" spans="1:5" x14ac:dyDescent="0.35">
      <c r="A912" t="s">
        <v>9</v>
      </c>
      <c r="B912" t="s">
        <v>1862</v>
      </c>
      <c r="C912" t="str">
        <f t="shared" si="14"/>
        <v>Consultation - PhonePerform ITScore assessment to identify ITSM strategic priorities.</v>
      </c>
      <c r="D912" t="s">
        <v>1176</v>
      </c>
      <c r="E912" t="s">
        <v>1177</v>
      </c>
    </row>
    <row r="913" spans="1:5" x14ac:dyDescent="0.35">
      <c r="A913" t="s">
        <v>9</v>
      </c>
      <c r="B913" t="s">
        <v>1875</v>
      </c>
      <c r="C913" t="str">
        <f t="shared" si="14"/>
        <v>Consultation - PhoneReview use cases to select ITSM tools. Read first:</v>
      </c>
      <c r="D913" t="s">
        <v>1876</v>
      </c>
      <c r="E913" t="s">
        <v>1877</v>
      </c>
    </row>
    <row r="914" spans="1:5" x14ac:dyDescent="0.35">
      <c r="A914" t="s">
        <v>9</v>
      </c>
      <c r="B914" t="s">
        <v>1878</v>
      </c>
      <c r="C914" t="str">
        <f t="shared" si="14"/>
        <v>Consultation - PhoneEvaluate and prioritize adoption of emerging technologies to optimize shared services.</v>
      </c>
      <c r="D914" t="s">
        <v>1879</v>
      </c>
      <c r="E914" t="s">
        <v>1880</v>
      </c>
    </row>
    <row r="915" spans="1:5" x14ac:dyDescent="0.35">
      <c r="A915" t="s">
        <v>9</v>
      </c>
      <c r="B915" t="s">
        <v>1886</v>
      </c>
      <c r="C915" t="str">
        <f t="shared" si="14"/>
        <v>Consultation - PhoneEstablish metrics to communicate the value provided in supporting business services.</v>
      </c>
      <c r="D915" t="s">
        <v>1887</v>
      </c>
      <c r="E915" t="s">
        <v>1888</v>
      </c>
    </row>
    <row r="916" spans="1:5" x14ac:dyDescent="0.35">
      <c r="A916" t="s">
        <v>9</v>
      </c>
      <c r="B916" t="s">
        <v>1895</v>
      </c>
      <c r="C916" t="str">
        <f t="shared" si="14"/>
        <v>Consultation - PhoneRepeat ITScore assessment. Track progress and plan next steps.</v>
      </c>
    </row>
    <row r="917" spans="1:5" x14ac:dyDescent="0.35">
      <c r="A917" t="s">
        <v>9</v>
      </c>
      <c r="B917" t="s">
        <v>1253</v>
      </c>
      <c r="C917" t="str">
        <f t="shared" si="14"/>
        <v>Consultation - PhoneMoving from projects to products.</v>
      </c>
      <c r="D917" t="s">
        <v>1900</v>
      </c>
      <c r="E917" t="s">
        <v>1901</v>
      </c>
    </row>
    <row r="918" spans="1:5" x14ac:dyDescent="0.35">
      <c r="A918" t="s">
        <v>9</v>
      </c>
      <c r="B918" t="s">
        <v>1932</v>
      </c>
      <c r="C918" t="str">
        <f t="shared" si="14"/>
        <v>Consultation - PhoneReview findings from the latest CIO agenda.</v>
      </c>
      <c r="D918" t="s">
        <v>1933</v>
      </c>
      <c r="E918" t="s">
        <v>1934</v>
      </c>
    </row>
    <row r="919" spans="1:5" x14ac:dyDescent="0.35">
      <c r="A919" t="s">
        <v>9</v>
      </c>
      <c r="B919" t="s">
        <v>1939</v>
      </c>
      <c r="C919" t="str">
        <f t="shared" si="14"/>
        <v xml:space="preserve">Consultation - PhoneDigital strategy progress checkpoint. Plan next 90 days. </v>
      </c>
    </row>
    <row r="920" spans="1:5" x14ac:dyDescent="0.35">
      <c r="A920" t="s">
        <v>9</v>
      </c>
      <c r="B920" t="s">
        <v>1949</v>
      </c>
      <c r="C920" t="str">
        <f t="shared" si="14"/>
        <v>Consultation - PhoneLeverage CIO Agenda insights to inform strategy and business priorities for unified commerce.</v>
      </c>
      <c r="D920" t="s">
        <v>1950</v>
      </c>
      <c r="E920" t="s">
        <v>1951</v>
      </c>
    </row>
    <row r="921" spans="1:5" x14ac:dyDescent="0.35">
      <c r="A921" t="s">
        <v>9</v>
      </c>
      <c r="B921" t="s">
        <v>1963</v>
      </c>
      <c r="C921" t="str">
        <f t="shared" si="14"/>
        <v>Consultation - PhoneCheckpoint: Discuss progress and plan next 90 days:</v>
      </c>
    </row>
    <row r="922" spans="1:5" x14ac:dyDescent="0.35">
      <c r="A922" t="s">
        <v>9</v>
      </c>
      <c r="B922" t="s">
        <v>1981</v>
      </c>
      <c r="C922" t="str">
        <f t="shared" si="14"/>
        <v>Consultation - PhoneAssess progress and plan next steps.</v>
      </c>
    </row>
    <row r="923" spans="1:5" x14ac:dyDescent="0.35">
      <c r="A923" t="s">
        <v>9</v>
      </c>
      <c r="B923" t="s">
        <v>1985</v>
      </c>
      <c r="C923" t="str">
        <f t="shared" si="14"/>
        <v>Consultation - PhoneIntroductory discussion on the art of stakeholder management and the steps to mastery in this area.</v>
      </c>
      <c r="D923" t="s">
        <v>557</v>
      </c>
      <c r="E923" t="s">
        <v>1986</v>
      </c>
    </row>
    <row r="924" spans="1:5" x14ac:dyDescent="0.35">
      <c r="A924" t="s">
        <v>9</v>
      </c>
      <c r="B924" t="s">
        <v>1998</v>
      </c>
      <c r="C924" t="str">
        <f t="shared" si="14"/>
        <v>Consultation - PhoneStakeholder management reading list.</v>
      </c>
      <c r="D924" t="s">
        <v>1999</v>
      </c>
      <c r="E924" t="s">
        <v>2000</v>
      </c>
    </row>
    <row r="925" spans="1:5" x14ac:dyDescent="0.35">
      <c r="A925" t="s">
        <v>9</v>
      </c>
      <c r="B925" t="s">
        <v>2015</v>
      </c>
      <c r="C925" t="str">
        <f t="shared" si="14"/>
        <v>Consultation - PhoneReview findings from the latest CIO agenda</v>
      </c>
      <c r="D925" t="s">
        <v>2016</v>
      </c>
      <c r="E925" t="s">
        <v>2017</v>
      </c>
    </row>
    <row r="926" spans="1:5" x14ac:dyDescent="0.35">
      <c r="A926" t="s">
        <v>9</v>
      </c>
      <c r="B926" t="s">
        <v>2031</v>
      </c>
      <c r="C926" t="str">
        <f t="shared" si="14"/>
        <v>Consultation - PhoneDiscuss the benefits of performing stakeholder analysis and creating power maps to help influence and persuade key internal stakeholders. Read first:</v>
      </c>
      <c r="D926" t="s">
        <v>557</v>
      </c>
      <c r="E926" t="s">
        <v>1986</v>
      </c>
    </row>
    <row r="927" spans="1:5" x14ac:dyDescent="0.35">
      <c r="A927" t="s">
        <v>9</v>
      </c>
      <c r="B927" t="s">
        <v>2035</v>
      </c>
      <c r="C927" t="str">
        <f t="shared" si="14"/>
        <v>Consultation - PhoneSituational assessment: Strategy &amp; Execution, Leadership Team, Organizational Capabilities, Stakeholder Relationships, CIO Metrics, IT Brand.</v>
      </c>
    </row>
    <row r="928" spans="1:5" x14ac:dyDescent="0.35">
      <c r="A928" t="s">
        <v>9</v>
      </c>
      <c r="B928" t="s">
        <v>2036</v>
      </c>
      <c r="C928" t="str">
        <f t="shared" si="14"/>
        <v>Consultation - PhoneDevelop a communication plan for the different layers of the organization.</v>
      </c>
      <c r="D928" t="s">
        <v>487</v>
      </c>
      <c r="E928" t="s">
        <v>488</v>
      </c>
    </row>
    <row r="929" spans="1:5" x14ac:dyDescent="0.35">
      <c r="A929" t="s">
        <v>9</v>
      </c>
      <c r="B929" t="s">
        <v>2039</v>
      </c>
      <c r="C929" t="str">
        <f t="shared" si="14"/>
        <v>Consultation - PhoneDiscuss the role of the IT Investment Council to maximize the value of investments involving IT.</v>
      </c>
      <c r="D929" t="s">
        <v>525</v>
      </c>
      <c r="E929" t="s">
        <v>526</v>
      </c>
    </row>
    <row r="930" spans="1:5" x14ac:dyDescent="0.35">
      <c r="A930" t="s">
        <v>9</v>
      </c>
      <c r="B930" t="s">
        <v>2047</v>
      </c>
      <c r="C930" t="str">
        <f t="shared" si="14"/>
        <v>Consultation - PhoneAssess the organization's capability to execute on the business strategy.</v>
      </c>
      <c r="D930" t="s">
        <v>2048</v>
      </c>
      <c r="E930" t="s">
        <v>2049</v>
      </c>
    </row>
    <row r="931" spans="1:5" x14ac:dyDescent="0.35">
      <c r="A931" t="s">
        <v>9</v>
      </c>
      <c r="B931" t="s">
        <v>2051</v>
      </c>
      <c r="C931" t="str">
        <f t="shared" si="14"/>
        <v>Consultation - PhoneDiscuss Gartner's IT Budget tool. Perform an initial ITBudget assessment for benchmark purposes.</v>
      </c>
      <c r="D931" t="s">
        <v>2052</v>
      </c>
      <c r="E931" t="s">
        <v>656</v>
      </c>
    </row>
    <row r="932" spans="1:5" x14ac:dyDescent="0.35">
      <c r="A932" t="s">
        <v>9</v>
      </c>
      <c r="B932" t="s">
        <v>2057</v>
      </c>
      <c r="C932" t="str">
        <f t="shared" si="14"/>
        <v>Consultation - PhoneMeasure current state maturity. Identify gaps. Plan next steps.</v>
      </c>
      <c r="D932" t="s">
        <v>2058</v>
      </c>
      <c r="E932" t="s">
        <v>2059</v>
      </c>
    </row>
    <row r="933" spans="1:5" x14ac:dyDescent="0.35">
      <c r="A933" t="s">
        <v>9</v>
      </c>
      <c r="B933" t="s">
        <v>2060</v>
      </c>
      <c r="C933" t="str">
        <f t="shared" si="14"/>
        <v>Consultation - PhoneReview progress on 100 day objectives.</v>
      </c>
      <c r="D933" t="s">
        <v>2061</v>
      </c>
      <c r="E933" t="s">
        <v>2062</v>
      </c>
    </row>
    <row r="934" spans="1:5" x14ac:dyDescent="0.35">
      <c r="A934" t="s">
        <v>9</v>
      </c>
      <c r="B934" t="s">
        <v>2071</v>
      </c>
      <c r="C934" t="str">
        <f t="shared" si="14"/>
        <v>Consultation - PhoneRe-run the ITScore assessment. Measure progress.</v>
      </c>
    </row>
    <row r="935" spans="1:5" x14ac:dyDescent="0.35">
      <c r="A935" t="s">
        <v>9</v>
      </c>
      <c r="B935" t="s">
        <v>2075</v>
      </c>
      <c r="C935" t="str">
        <f t="shared" si="14"/>
        <v>Consultation - PhoneDiscuss current state and the need to create/update ITAM frameworks and guidelines. Read first:</v>
      </c>
      <c r="D935" t="s">
        <v>2076</v>
      </c>
      <c r="E935" t="s">
        <v>2077</v>
      </c>
    </row>
    <row r="936" spans="1:5" x14ac:dyDescent="0.35">
      <c r="A936" t="s">
        <v>9</v>
      </c>
      <c r="B936" t="s">
        <v>2087</v>
      </c>
      <c r="C936" t="str">
        <f t="shared" si="14"/>
        <v>Consultation - PhonePrioritize software asset management investments.</v>
      </c>
      <c r="D936" t="s">
        <v>2088</v>
      </c>
      <c r="E936" t="s">
        <v>2089</v>
      </c>
    </row>
    <row r="937" spans="1:5" x14ac:dyDescent="0.35">
      <c r="A937" t="s">
        <v>9</v>
      </c>
      <c r="B937" t="s">
        <v>2101</v>
      </c>
      <c r="C937" t="str">
        <f t="shared" si="14"/>
        <v>Consultation - PhoneDiscuss the organization's readiness for a software audit.</v>
      </c>
      <c r="D937" t="s">
        <v>2102</v>
      </c>
      <c r="E937" t="s">
        <v>2103</v>
      </c>
    </row>
    <row r="938" spans="1:5" x14ac:dyDescent="0.35">
      <c r="A938" t="s">
        <v>9</v>
      </c>
      <c r="B938" t="s">
        <v>2116</v>
      </c>
      <c r="C938" t="str">
        <f t="shared" si="14"/>
        <v>Consultation - PhoneConsult on how to evolve the I&amp;O Leadership.</v>
      </c>
      <c r="D938" t="s">
        <v>2117</v>
      </c>
      <c r="E938" t="s">
        <v>2118</v>
      </c>
    </row>
    <row r="939" spans="1:5" x14ac:dyDescent="0.35">
      <c r="A939" t="s">
        <v>9</v>
      </c>
      <c r="B939" t="s">
        <v>2131</v>
      </c>
      <c r="C939" t="str">
        <f t="shared" si="14"/>
        <v>Consultation - PhoneConsult on the new I&amp;O operating model and design for digital business.</v>
      </c>
      <c r="D939" t="s">
        <v>2132</v>
      </c>
      <c r="E939" t="s">
        <v>2133</v>
      </c>
    </row>
    <row r="940" spans="1:5" x14ac:dyDescent="0.35">
      <c r="A940" t="s">
        <v>9</v>
      </c>
      <c r="B940" t="s">
        <v>2143</v>
      </c>
      <c r="C940" t="str">
        <f t="shared" si="14"/>
        <v>Consultation - PhoneReview project implementation and make improvements to align the project with organization's objectives.</v>
      </c>
    </row>
    <row r="941" spans="1:5" x14ac:dyDescent="0.35">
      <c r="A941" t="s">
        <v>9</v>
      </c>
      <c r="B941" t="s">
        <v>2144</v>
      </c>
      <c r="C941" t="str">
        <f t="shared" si="14"/>
        <v>Consultation - PhoneReview progress, and plan on how to further develop the engagement for 2019.</v>
      </c>
    </row>
    <row r="942" spans="1:5" x14ac:dyDescent="0.35">
      <c r="A942" t="s">
        <v>9</v>
      </c>
      <c r="B942" t="s">
        <v>2145</v>
      </c>
      <c r="C942" t="str">
        <f t="shared" si="14"/>
        <v>Consultation - PhoneReview Gartner resources to support the AR exercise. Plan an initial application fitness &amp; value assessment.</v>
      </c>
      <c r="D942" t="s">
        <v>2146</v>
      </c>
      <c r="E942" t="s">
        <v>585</v>
      </c>
    </row>
    <row r="943" spans="1:5" x14ac:dyDescent="0.35">
      <c r="A943" t="s">
        <v>9</v>
      </c>
      <c r="B943" t="s">
        <v>2150</v>
      </c>
      <c r="C943" t="str">
        <f t="shared" si="14"/>
        <v>Consultation - PhoneDiscuss critical success factors for successful application rationalization, e.g. business engagement and change management.</v>
      </c>
    </row>
    <row r="944" spans="1:5" x14ac:dyDescent="0.35">
      <c r="A944" t="s">
        <v>9</v>
      </c>
      <c r="B944" t="s">
        <v>2163</v>
      </c>
      <c r="C944" t="str">
        <f t="shared" si="14"/>
        <v>Consultation - PhoneConsult on detailed stakeholder communications plans tailored for each line of business.</v>
      </c>
    </row>
    <row r="945" spans="1:5" x14ac:dyDescent="0.35">
      <c r="A945" t="s">
        <v>9</v>
      </c>
      <c r="B945" t="s">
        <v>2164</v>
      </c>
      <c r="C945" t="str">
        <f t="shared" si="14"/>
        <v>Consultation - PhoneLeveraging Gartner's IT Key Metrics Data.</v>
      </c>
      <c r="D945" t="s">
        <v>2165</v>
      </c>
      <c r="E945" t="s">
        <v>893</v>
      </c>
    </row>
    <row r="946" spans="1:5" x14ac:dyDescent="0.35">
      <c r="A946" t="s">
        <v>9</v>
      </c>
      <c r="B946" t="s">
        <v>2167</v>
      </c>
      <c r="C946" t="str">
        <f t="shared" si="14"/>
        <v>Consultation - PhoneReview the approach for ongoing application review and retirement. Read first:</v>
      </c>
      <c r="D946" t="s">
        <v>2168</v>
      </c>
      <c r="E946" t="s">
        <v>2169</v>
      </c>
    </row>
    <row r="947" spans="1:5" x14ac:dyDescent="0.35">
      <c r="A947" t="s">
        <v>9</v>
      </c>
      <c r="B947" t="s">
        <v>2174</v>
      </c>
      <c r="C947" t="str">
        <f t="shared" si="14"/>
        <v>Consultation - PhoneReview progress, and plan next priorities fro application rationalization.</v>
      </c>
    </row>
    <row r="948" spans="1:5" x14ac:dyDescent="0.35">
      <c r="A948" t="s">
        <v>9</v>
      </c>
      <c r="B948" t="s">
        <v>2175</v>
      </c>
      <c r="C948" t="str">
        <f t="shared" si="14"/>
        <v xml:space="preserve">Consultation - PhoneAssess the current state of data strategy. Discuss vision, goals.  </v>
      </c>
    </row>
    <row r="949" spans="1:5" x14ac:dyDescent="0.35">
      <c r="A949" t="s">
        <v>9</v>
      </c>
      <c r="B949" t="s">
        <v>2181</v>
      </c>
      <c r="C949" t="str">
        <f t="shared" si="14"/>
        <v>Consultation - PhoneFinalize strategy for Data Management aligned to Analytics goals.</v>
      </c>
      <c r="D949" t="s">
        <v>2182</v>
      </c>
      <c r="E949" t="s">
        <v>2183</v>
      </c>
    </row>
    <row r="950" spans="1:5" x14ac:dyDescent="0.35">
      <c r="A950" t="s">
        <v>9</v>
      </c>
      <c r="B950" t="s">
        <v>2190</v>
      </c>
      <c r="C950" t="str">
        <f t="shared" si="14"/>
        <v xml:space="preserve">Consultation - PhoneConsult on linking Data strategy to Data &amp; Analytics infrastructure. Leverage Toolkit.
</v>
      </c>
      <c r="D950" t="s">
        <v>2191</v>
      </c>
      <c r="E950" t="s">
        <v>2192</v>
      </c>
    </row>
    <row r="951" spans="1:5" x14ac:dyDescent="0.35">
      <c r="A951" t="s">
        <v>9</v>
      </c>
      <c r="B951" t="s">
        <v>2197</v>
      </c>
      <c r="C951" t="str">
        <f t="shared" si="14"/>
        <v>Consultation - PhoneConsult on how to adopt a trust-based approach to information governance.</v>
      </c>
      <c r="D951" t="s">
        <v>2198</v>
      </c>
      <c r="E951" t="s">
        <v>2199</v>
      </c>
    </row>
    <row r="952" spans="1:5" x14ac:dyDescent="0.35">
      <c r="A952" t="s">
        <v>9</v>
      </c>
      <c r="B952" t="s">
        <v>2202</v>
      </c>
      <c r="C952" t="str">
        <f t="shared" si="14"/>
        <v xml:space="preserve">Consultation - PhoneReview progress and communication approach for Data Strategy implementation to business stakeholders.     
</v>
      </c>
    </row>
    <row r="953" spans="1:5" x14ac:dyDescent="0.35">
      <c r="A953" t="s">
        <v>9</v>
      </c>
      <c r="B953" t="s">
        <v>2216</v>
      </c>
      <c r="C953" t="str">
        <f t="shared" si="14"/>
        <v>Consultation - PhoneReview the Gartner toolkits available to support this initiative.</v>
      </c>
      <c r="D953" t="s">
        <v>2217</v>
      </c>
      <c r="E953" t="s">
        <v>2218</v>
      </c>
    </row>
    <row r="954" spans="1:5" x14ac:dyDescent="0.35">
      <c r="A954" t="s">
        <v>9</v>
      </c>
      <c r="B954" t="s">
        <v>2223</v>
      </c>
      <c r="C954" t="str">
        <f t="shared" si="14"/>
        <v>Consultation - PhoneHow to leverage Gartner research and inquiry when selecting providers.</v>
      </c>
      <c r="D954" t="s">
        <v>2224</v>
      </c>
      <c r="E954" t="s">
        <v>2225</v>
      </c>
    </row>
    <row r="955" spans="1:5" x14ac:dyDescent="0.35">
      <c r="A955" t="s">
        <v>9</v>
      </c>
      <c r="B955" t="s">
        <v>2229</v>
      </c>
      <c r="C955" t="str">
        <f t="shared" si="14"/>
        <v>Consultation - PhoneEncourage continuous adoption of cloud office workloads.</v>
      </c>
      <c r="D955" t="s">
        <v>2230</v>
      </c>
      <c r="E955" t="s">
        <v>2231</v>
      </c>
    </row>
    <row r="956" spans="1:5" x14ac:dyDescent="0.35">
      <c r="A956" t="s">
        <v>9</v>
      </c>
      <c r="B956" t="s">
        <v>2244</v>
      </c>
      <c r="C956" t="str">
        <f t="shared" si="14"/>
        <v>Consultation - PhoneReview the engagement so far and plan for future steps.</v>
      </c>
    </row>
    <row r="957" spans="1:5" x14ac:dyDescent="0.35">
      <c r="A957" t="s">
        <v>9</v>
      </c>
      <c r="B957" t="s">
        <v>2245</v>
      </c>
      <c r="C957" t="str">
        <f t="shared" si="14"/>
        <v>Consultation - PhoneDiscussion on the current status of Smart City Initiatives. Goals for the next 12 months. Identify next steps.</v>
      </c>
      <c r="D957" t="s">
        <v>2246</v>
      </c>
      <c r="E957" t="s">
        <v>2247</v>
      </c>
    </row>
    <row r="958" spans="1:5" x14ac:dyDescent="0.35">
      <c r="A958" t="s">
        <v>9</v>
      </c>
      <c r="B958" t="s">
        <v>2263</v>
      </c>
      <c r="C958" t="str">
        <f t="shared" si="14"/>
        <v>Consultation - PhoneConsult to develop a framework for Smart City wireless projects.</v>
      </c>
      <c r="D958" t="s">
        <v>2264</v>
      </c>
      <c r="E958" t="s">
        <v>2265</v>
      </c>
    </row>
    <row r="959" spans="1:5" x14ac:dyDescent="0.35">
      <c r="A959" t="s">
        <v>9</v>
      </c>
      <c r="B959" t="s">
        <v>2269</v>
      </c>
      <c r="C959" t="str">
        <f t="shared" si="14"/>
        <v>Consultation - PhoneReview the progress made, technologies implemented and plan for future steps.</v>
      </c>
    </row>
    <row r="960" spans="1:5" x14ac:dyDescent="0.35">
      <c r="A960" t="s">
        <v>9</v>
      </c>
      <c r="B960" t="s">
        <v>2281</v>
      </c>
      <c r="C960" t="str">
        <f t="shared" si="14"/>
        <v>Consultation - PhoneReview supporting Gartner research/toolkits:</v>
      </c>
      <c r="D960" t="s">
        <v>2282</v>
      </c>
      <c r="E960" t="s">
        <v>2283</v>
      </c>
    </row>
    <row r="961" spans="1:5" x14ac:dyDescent="0.35">
      <c r="A961" t="s">
        <v>9</v>
      </c>
      <c r="B961" t="s">
        <v>2289</v>
      </c>
      <c r="C961" t="str">
        <f t="shared" si="14"/>
        <v>Consultation - PhoneDiscuss effective change management strategies for a successful BPO transition.</v>
      </c>
      <c r="D961" t="s">
        <v>595</v>
      </c>
      <c r="E961" t="s">
        <v>2290</v>
      </c>
    </row>
    <row r="962" spans="1:5" x14ac:dyDescent="0.35">
      <c r="A962" t="s">
        <v>9</v>
      </c>
      <c r="B962" t="s">
        <v>2300</v>
      </c>
      <c r="C962" t="str">
        <f t="shared" si="14"/>
        <v>Consultation - PhoneReview progress, identify priorities for next wave of BPO maturity.</v>
      </c>
    </row>
    <row r="963" spans="1:5" x14ac:dyDescent="0.35">
      <c r="A963" t="s">
        <v>9</v>
      </c>
      <c r="B963" t="s">
        <v>2307</v>
      </c>
      <c r="C963" t="str">
        <f t="shared" ref="C963:C1026" si="15">CONCATENATE(A963,B963)</f>
        <v>Consultation - PhoneReview I&amp;T Operating model research to discover the operating model changes other companies are creating to be more adaptive to the business.</v>
      </c>
      <c r="D963" t="s">
        <v>62</v>
      </c>
      <c r="E963" t="s">
        <v>63</v>
      </c>
    </row>
    <row r="964" spans="1:5" x14ac:dyDescent="0.35">
      <c r="A964" t="s">
        <v>9</v>
      </c>
      <c r="B964" t="s">
        <v>2309</v>
      </c>
      <c r="C964" t="str">
        <f t="shared" si="15"/>
        <v xml:space="preserve">Consultation - PhoneUse IT capability modeling to identify the capabilities your organization currently performs, what is needed for the future &amp; impact on org design.
</v>
      </c>
      <c r="D964" t="s">
        <v>53</v>
      </c>
      <c r="E964" t="s">
        <v>54</v>
      </c>
    </row>
    <row r="965" spans="1:5" x14ac:dyDescent="0.35">
      <c r="A965" t="s">
        <v>9</v>
      </c>
      <c r="B965" t="s">
        <v>2310</v>
      </c>
      <c r="C965" t="str">
        <f t="shared" si="15"/>
        <v>Consultation - PhoneAligning existing resources and roles with business expectations for run-the-business functions as well as identify grow-transform functions.</v>
      </c>
      <c r="D965" t="s">
        <v>2311</v>
      </c>
      <c r="E965" t="s">
        <v>70</v>
      </c>
    </row>
    <row r="966" spans="1:5" x14ac:dyDescent="0.35">
      <c r="A966" t="s">
        <v>9</v>
      </c>
      <c r="B966" t="s">
        <v>2330</v>
      </c>
      <c r="C966" t="str">
        <f t="shared" si="15"/>
        <v>Consultation - PhoneDetermine how to measure success during the digital journey.</v>
      </c>
      <c r="D966" t="s">
        <v>539</v>
      </c>
      <c r="E966" t="s">
        <v>540</v>
      </c>
    </row>
    <row r="967" spans="1:5" x14ac:dyDescent="0.35">
      <c r="A967" t="s">
        <v>9</v>
      </c>
      <c r="B967" t="s">
        <v>2332</v>
      </c>
      <c r="C967" t="str">
        <f t="shared" si="15"/>
        <v>Consultation - PhoneReview plans and communication approach for business transformation roadmap discussions.</v>
      </c>
      <c r="D967" t="s">
        <v>2333</v>
      </c>
      <c r="E967" t="s">
        <v>2334</v>
      </c>
    </row>
    <row r="968" spans="1:5" x14ac:dyDescent="0.35">
      <c r="A968" t="s">
        <v>9</v>
      </c>
      <c r="B968" t="s">
        <v>2336</v>
      </c>
      <c r="C968" t="str">
        <f t="shared" si="15"/>
        <v>Consultation - PhoneProviding insights into the Gartner maturity model/ITScore process and the relationship between IT maturity and successful transformation.</v>
      </c>
      <c r="D968" t="s">
        <v>895</v>
      </c>
      <c r="E968" t="s">
        <v>896</v>
      </c>
    </row>
    <row r="969" spans="1:5" x14ac:dyDescent="0.35">
      <c r="A969" t="s">
        <v>9</v>
      </c>
      <c r="B969" t="s">
        <v>2341</v>
      </c>
      <c r="C969" t="str">
        <f t="shared" si="15"/>
        <v>Consultation - PhoneYour Executive Partner will work with you to interpret the ITScore reports, put them in context, and prioritize follow up action.</v>
      </c>
    </row>
    <row r="970" spans="1:5" x14ac:dyDescent="0.35">
      <c r="A970" t="s">
        <v>9</v>
      </c>
      <c r="B970" t="s">
        <v>2346</v>
      </c>
      <c r="C970" t="str">
        <f t="shared" si="15"/>
        <v>Consultation - PhoneAssisted by your Executive Partner, complete the ITBudget Assessment which will enable you to compare results against Key Metrics data in your sector.</v>
      </c>
      <c r="D970" t="s">
        <v>655</v>
      </c>
      <c r="E970" t="s">
        <v>2347</v>
      </c>
    </row>
    <row r="971" spans="1:5" x14ac:dyDescent="0.35">
      <c r="A971" t="s">
        <v>9</v>
      </c>
      <c r="B971" t="s">
        <v>2349</v>
      </c>
      <c r="C971" t="str">
        <f t="shared" si="15"/>
        <v>Consultation - PhoneUse Gartner's Principles framework to assess and challenge your existing activities. Assess their full potential using the prioritization toolkit.</v>
      </c>
      <c r="D971" t="s">
        <v>2350</v>
      </c>
      <c r="E971" t="s">
        <v>2351</v>
      </c>
    </row>
    <row r="972" spans="1:5" x14ac:dyDescent="0.35">
      <c r="A972" t="s">
        <v>9</v>
      </c>
      <c r="B972" t="s">
        <v>2352</v>
      </c>
      <c r="C972" t="str">
        <f t="shared" si="15"/>
        <v>Consultation - PhoneReview together and apply research including:</v>
      </c>
      <c r="D972" t="s">
        <v>2353</v>
      </c>
      <c r="E972" t="s">
        <v>675</v>
      </c>
    </row>
    <row r="973" spans="1:5" x14ac:dyDescent="0.35">
      <c r="A973" t="s">
        <v>9</v>
      </c>
      <c r="B973" t="s">
        <v>2358</v>
      </c>
      <c r="C973" t="str">
        <f t="shared" si="15"/>
        <v xml:space="preserve">Consultation - PhoneExplore Gartner's Cost Optimization home page to Identify the most productive potential approaches to reducing staffing levels and operating costs.
</v>
      </c>
      <c r="D973" t="s">
        <v>7</v>
      </c>
      <c r="E973" t="s">
        <v>2359</v>
      </c>
    </row>
    <row r="974" spans="1:5" x14ac:dyDescent="0.35">
      <c r="A974" t="s">
        <v>9</v>
      </c>
      <c r="B974" t="s">
        <v>2376</v>
      </c>
      <c r="C974" t="str">
        <f t="shared" si="15"/>
        <v>Consultation - PhoneWorking sessions on strategy development and review. Ensure your IT strategy is brief, clear and completely focused on business success.</v>
      </c>
      <c r="D974" t="s">
        <v>482</v>
      </c>
      <c r="E974" t="s">
        <v>483</v>
      </c>
    </row>
    <row r="975" spans="1:5" x14ac:dyDescent="0.35">
      <c r="A975" t="s">
        <v>9</v>
      </c>
      <c r="B975" t="s">
        <v>2378</v>
      </c>
      <c r="C975" t="str">
        <f t="shared" si="15"/>
        <v>Consultation - PhoneDiscuss change management implications related to execution of the strategic direction.</v>
      </c>
      <c r="D975" t="s">
        <v>2379</v>
      </c>
      <c r="E975" t="s">
        <v>493</v>
      </c>
    </row>
    <row r="976" spans="1:5" x14ac:dyDescent="0.35">
      <c r="A976" t="s">
        <v>9</v>
      </c>
      <c r="B976" t="s">
        <v>2398</v>
      </c>
      <c r="C976" t="str">
        <f t="shared" si="15"/>
        <v>Consultation - PhoneDiscussion around how governance and culture both influence, and are influenced by, the design of an I&amp;T operating model.</v>
      </c>
      <c r="D976" t="s">
        <v>439</v>
      </c>
      <c r="E976" t="s">
        <v>440</v>
      </c>
    </row>
    <row r="977" spans="1:5" x14ac:dyDescent="0.35">
      <c r="A977" t="s">
        <v>9</v>
      </c>
      <c r="B977" t="s">
        <v>2400</v>
      </c>
      <c r="C977" t="str">
        <f t="shared" si="15"/>
        <v xml:space="preserve">Consultation - PhoneReview progress on the nine components and put together a plan for the next 90 days. </v>
      </c>
    </row>
    <row r="978" spans="1:5" x14ac:dyDescent="0.35">
      <c r="A978" t="s">
        <v>9</v>
      </c>
      <c r="B978" t="s">
        <v>2408</v>
      </c>
      <c r="C978" t="str">
        <f t="shared" si="15"/>
        <v>Consultation - PhoneLeverage Gartner’s Hype Cycle toolkit to develop a shortlist of options for technology-enabled business innovations.</v>
      </c>
      <c r="D978" t="s">
        <v>635</v>
      </c>
      <c r="E978" t="s">
        <v>636</v>
      </c>
    </row>
    <row r="979" spans="1:5" x14ac:dyDescent="0.35">
      <c r="A979" t="s">
        <v>9</v>
      </c>
      <c r="B979" t="s">
        <v>2412</v>
      </c>
      <c r="C979" t="str">
        <f t="shared" si="15"/>
        <v>Consultation - PhoneReview tools and templates that help build team creativity and openness to sharing, expand and narrow team thinking, and improve employee innovations.</v>
      </c>
      <c r="D979" t="s">
        <v>2413</v>
      </c>
      <c r="E979" t="s">
        <v>2414</v>
      </c>
    </row>
    <row r="980" spans="1:5" x14ac:dyDescent="0.35">
      <c r="A980" t="s">
        <v>9</v>
      </c>
      <c r="B980" t="s">
        <v>2419</v>
      </c>
      <c r="C980" t="str">
        <f t="shared" si="15"/>
        <v>Consultation - PhoneStart with a strategy consultation with your Executive Partner based on the insights, models and questions set out in the foundational research.</v>
      </c>
      <c r="D980" t="s">
        <v>2420</v>
      </c>
      <c r="E980" t="s">
        <v>513</v>
      </c>
    </row>
    <row r="981" spans="1:5" x14ac:dyDescent="0.35">
      <c r="A981" t="s">
        <v>9</v>
      </c>
      <c r="B981" t="s">
        <v>2424</v>
      </c>
      <c r="C981" t="str">
        <f t="shared" si="15"/>
        <v>Consultation - PhoneCreating an effective IT investment council to maximize the value of investment.</v>
      </c>
      <c r="D981" t="s">
        <v>525</v>
      </c>
      <c r="E981" t="s">
        <v>526</v>
      </c>
    </row>
    <row r="982" spans="1:5" x14ac:dyDescent="0.35">
      <c r="A982" t="s">
        <v>9</v>
      </c>
      <c r="B982" t="s">
        <v>2429</v>
      </c>
      <c r="C982" t="str">
        <f t="shared" si="15"/>
        <v>Consultation - PhoneEvaluate the perspectives of different key stakeholders who will see and use the metrics. Develop a communication strategy for each audience.</v>
      </c>
      <c r="D982" t="s">
        <v>557</v>
      </c>
      <c r="E982" t="s">
        <v>558</v>
      </c>
    </row>
    <row r="983" spans="1:5" x14ac:dyDescent="0.35">
      <c r="A983" t="s">
        <v>9</v>
      </c>
      <c r="B983" t="s">
        <v>2439</v>
      </c>
      <c r="C983" t="str">
        <f t="shared" si="15"/>
        <v>Consultation - PhoneHow to make governance more adaptable by adding new practices to the current governance repertoire, and applying them on a “fit for purpose” basis.</v>
      </c>
      <c r="D983" t="s">
        <v>2440</v>
      </c>
      <c r="E983" t="s">
        <v>2441</v>
      </c>
    </row>
    <row r="984" spans="1:5" x14ac:dyDescent="0.35">
      <c r="A984" t="s">
        <v>9</v>
      </c>
      <c r="B984" t="s">
        <v>2454</v>
      </c>
      <c r="C984" t="str">
        <f t="shared" si="15"/>
        <v xml:space="preserve">Consultation - PhoneUse ITScore to assess shortcomings, determine priorities &amp; identify actions for improving the maturity &amp; performance of Data &amp; Analytics capability.
</v>
      </c>
      <c r="D984" t="s">
        <v>85</v>
      </c>
      <c r="E984" t="s">
        <v>88</v>
      </c>
    </row>
    <row r="985" spans="1:5" x14ac:dyDescent="0.35">
      <c r="A985" t="s">
        <v>9</v>
      </c>
      <c r="B985" t="s">
        <v>2460</v>
      </c>
      <c r="C985" t="str">
        <f t="shared" si="15"/>
        <v>Consultation - PhoneSession on organizing teams for Data and Analytics deployment.</v>
      </c>
      <c r="D985" t="s">
        <v>2461</v>
      </c>
      <c r="E985" t="s">
        <v>2462</v>
      </c>
    </row>
    <row r="986" spans="1:5" x14ac:dyDescent="0.35">
      <c r="A986" t="s">
        <v>9</v>
      </c>
      <c r="B986" t="s">
        <v>2473</v>
      </c>
      <c r="C986" t="str">
        <f t="shared" si="15"/>
        <v>Consultation - PhoneConsult on building the business case for cloud strategy. Focus on articulating business benefits that are aligned with business goals.</v>
      </c>
      <c r="D986" t="s">
        <v>2474</v>
      </c>
      <c r="E986" t="s">
        <v>1053</v>
      </c>
    </row>
    <row r="987" spans="1:5" x14ac:dyDescent="0.35">
      <c r="A987" t="s">
        <v>9</v>
      </c>
      <c r="B987" t="s">
        <v>2487</v>
      </c>
      <c r="C987" t="str">
        <f t="shared" si="15"/>
        <v>Consultation - PhoneUse this tool to build a custom cloud strategy roadmap based on the projected timeline, apply RACI designations, &amp; track progress towards goals.</v>
      </c>
      <c r="D987" t="s">
        <v>2488</v>
      </c>
      <c r="E987" t="s">
        <v>2489</v>
      </c>
    </row>
    <row r="988" spans="1:5" x14ac:dyDescent="0.35">
      <c r="A988" t="s">
        <v>9</v>
      </c>
      <c r="B988" t="s">
        <v>2496</v>
      </c>
      <c r="C988" t="str">
        <f t="shared" si="15"/>
        <v>Consultation - PhoneConduct an assessment of your team to understand the current state and gaps.</v>
      </c>
      <c r="D988" t="s">
        <v>924</v>
      </c>
      <c r="E988" t="s">
        <v>925</v>
      </c>
    </row>
    <row r="989" spans="1:5" x14ac:dyDescent="0.35">
      <c r="A989" t="s">
        <v>9</v>
      </c>
      <c r="B989" t="s">
        <v>2504</v>
      </c>
      <c r="C989" t="str">
        <f t="shared" si="15"/>
        <v>Consultation - PhoneDiscuss competencies critical to IT employees.</v>
      </c>
      <c r="D989" t="s">
        <v>2505</v>
      </c>
      <c r="E989" t="s">
        <v>2506</v>
      </c>
    </row>
    <row r="990" spans="1:5" x14ac:dyDescent="0.35">
      <c r="A990" t="s">
        <v>9</v>
      </c>
      <c r="B990" t="s">
        <v>2514</v>
      </c>
      <c r="C990" t="str">
        <f t="shared" si="15"/>
        <v>Consultation - PhoneConsult on revamping professional development programs and grooming managers to be coaches who can build and sustain a continuous-learning culture.</v>
      </c>
      <c r="D990" t="s">
        <v>941</v>
      </c>
      <c r="E990" t="s">
        <v>2515</v>
      </c>
    </row>
    <row r="991" spans="1:5" x14ac:dyDescent="0.35">
      <c r="A991" t="s">
        <v>9</v>
      </c>
      <c r="B991" t="s">
        <v>2530</v>
      </c>
      <c r="C991" t="str">
        <f t="shared" si="15"/>
        <v>Consultation - PhoneHow to establish operational tactics and strategies to get started on AI projects.</v>
      </c>
      <c r="D991" t="s">
        <v>2526</v>
      </c>
      <c r="E991" t="s">
        <v>2527</v>
      </c>
    </row>
    <row r="992" spans="1:5" x14ac:dyDescent="0.35">
      <c r="A992" t="s">
        <v>9</v>
      </c>
      <c r="B992" t="s">
        <v>2535</v>
      </c>
      <c r="C992" t="str">
        <f t="shared" si="15"/>
        <v>Consultation - PhoneCraft a business case for investment in Artificial Intelligence.</v>
      </c>
      <c r="D992" t="s">
        <v>2536</v>
      </c>
      <c r="E992" t="s">
        <v>373</v>
      </c>
    </row>
    <row r="993" spans="1:5" x14ac:dyDescent="0.35">
      <c r="A993" t="s">
        <v>9</v>
      </c>
      <c r="B993" t="s">
        <v>2555</v>
      </c>
      <c r="C993" t="str">
        <f t="shared" si="15"/>
        <v>Consultation - PhoneIdentify the most suitable style of AI Center of Excellence and how to measure its success.</v>
      </c>
      <c r="D993" t="s">
        <v>408</v>
      </c>
      <c r="E993" t="s">
        <v>409</v>
      </c>
    </row>
    <row r="994" spans="1:5" x14ac:dyDescent="0.35">
      <c r="A994" t="s">
        <v>9</v>
      </c>
      <c r="B994" t="s">
        <v>2559</v>
      </c>
      <c r="C994" t="str">
        <f t="shared" si="15"/>
        <v xml:space="preserve">Consultation - PhoneReview progress and articulation of the AI Roadmap to business stakeholders.
</v>
      </c>
    </row>
    <row r="995" spans="1:5" x14ac:dyDescent="0.35">
      <c r="A995" t="s">
        <v>9</v>
      </c>
      <c r="B995" t="s">
        <v>2563</v>
      </c>
      <c r="C995" t="str">
        <f t="shared" si="15"/>
        <v xml:space="preserve">Consultation - PhoneOutline current threat detection and mitigation policies. Leverage toolkit to plan for and respond to the challenges of targeted cyber attacks.
</v>
      </c>
      <c r="D995" t="s">
        <v>997</v>
      </c>
      <c r="E995" t="s">
        <v>998</v>
      </c>
    </row>
    <row r="996" spans="1:5" x14ac:dyDescent="0.35">
      <c r="A996" t="s">
        <v>9</v>
      </c>
      <c r="B996" t="s">
        <v>2564</v>
      </c>
      <c r="C996" t="str">
        <f t="shared" si="15"/>
        <v xml:space="preserve">Consultation - PhoneCraft an approach to stakeholder communications on security &amp; risk. Leverage Toolkit for board-relevant and business-aligned content.
</v>
      </c>
      <c r="D996" t="s">
        <v>1007</v>
      </c>
      <c r="E996" t="s">
        <v>1008</v>
      </c>
    </row>
    <row r="997" spans="1:5" x14ac:dyDescent="0.35">
      <c r="A997" t="s">
        <v>9</v>
      </c>
      <c r="B997" t="s">
        <v>2565</v>
      </c>
      <c r="C997" t="str">
        <f t="shared" si="15"/>
        <v>Consultation - PhoneFinalize Security strategy and leverage Toolkit to develop a security strategy that considers all factors and findings from assessments.</v>
      </c>
      <c r="D997" t="s">
        <v>1004</v>
      </c>
      <c r="E997" t="s">
        <v>1005</v>
      </c>
    </row>
    <row r="998" spans="1:5" x14ac:dyDescent="0.35">
      <c r="A998" t="s">
        <v>9</v>
      </c>
      <c r="B998" t="s">
        <v>2569</v>
      </c>
      <c r="C998" t="str">
        <f t="shared" si="15"/>
        <v>Consultation - PhoneConsult on best practices in creating Security policies.</v>
      </c>
      <c r="D998" t="s">
        <v>1032</v>
      </c>
      <c r="E998" t="s">
        <v>1033</v>
      </c>
    </row>
    <row r="999" spans="1:5" x14ac:dyDescent="0.35">
      <c r="A999" t="s">
        <v>9</v>
      </c>
      <c r="B999" t="s">
        <v>2583</v>
      </c>
      <c r="C999" t="str">
        <f t="shared" si="15"/>
        <v>Consultation - PhoneWalk through the Gartner Business Value model - a tool to explain and prioritize new IT investments and ongoing IT services to business executives.</v>
      </c>
      <c r="D999" t="s">
        <v>2422</v>
      </c>
      <c r="E999" t="s">
        <v>2423</v>
      </c>
    </row>
    <row r="1000" spans="1:5" x14ac:dyDescent="0.35">
      <c r="A1000" t="s">
        <v>9</v>
      </c>
      <c r="B1000" t="s">
        <v>2588</v>
      </c>
      <c r="C1000" t="str">
        <f t="shared" si="15"/>
        <v>Consultation - PhoneSupport activities to create an effective set of communications to the business.</v>
      </c>
      <c r="D1000" t="s">
        <v>487</v>
      </c>
      <c r="E1000" t="s">
        <v>488</v>
      </c>
    </row>
    <row r="1001" spans="1:5" x14ac:dyDescent="0.35">
      <c r="A1001" t="s">
        <v>9</v>
      </c>
      <c r="B1001" t="s">
        <v>2606</v>
      </c>
      <c r="C1001" t="str">
        <f t="shared" si="15"/>
        <v>Consultation - PhoneDiscuss the best practices in governance models for Agile.</v>
      </c>
      <c r="D1001" t="s">
        <v>1910</v>
      </c>
      <c r="E1001" t="s">
        <v>1911</v>
      </c>
    </row>
    <row r="1002" spans="1:5" x14ac:dyDescent="0.35">
      <c r="A1002" t="s">
        <v>9</v>
      </c>
      <c r="B1002" t="s">
        <v>2619</v>
      </c>
      <c r="C1002" t="str">
        <f t="shared" si="15"/>
        <v>Consultation - PhoneDiscuss potential stretch assignments for high performing employees.</v>
      </c>
      <c r="D1002" t="s">
        <v>2620</v>
      </c>
      <c r="E1002" t="s">
        <v>2621</v>
      </c>
    </row>
    <row r="1003" spans="1:5" x14ac:dyDescent="0.35">
      <c r="A1003" t="s">
        <v>9</v>
      </c>
      <c r="B1003" t="s">
        <v>2628</v>
      </c>
      <c r="C1003" t="str">
        <f t="shared" si="15"/>
        <v>Consultation - PhoneWalk through content designed to provide aspiring CIOs with knowledge and behavioral competencies they will call on throughout their career.</v>
      </c>
      <c r="D1003" t="s">
        <v>2629</v>
      </c>
      <c r="E1003" t="s">
        <v>2630</v>
      </c>
    </row>
    <row r="1004" spans="1:5" x14ac:dyDescent="0.35">
      <c r="A1004" t="s">
        <v>9</v>
      </c>
      <c r="B1004" t="s">
        <v>2635</v>
      </c>
      <c r="C1004" t="str">
        <f t="shared" si="15"/>
        <v>Consultation - PhoneCommunicate the IT function's post deal integration approach and the most significant, IT-dependent integration activities to the executive committee.</v>
      </c>
      <c r="D1004" t="s">
        <v>580</v>
      </c>
      <c r="E1004" t="s">
        <v>581</v>
      </c>
    </row>
    <row r="1005" spans="1:5" x14ac:dyDescent="0.35">
      <c r="A1005" t="s">
        <v>9</v>
      </c>
      <c r="B1005" t="s">
        <v>2639</v>
      </c>
      <c r="C1005" t="str">
        <f t="shared" si="15"/>
        <v>Consultation - PhoneAssess the target company's IT staff, identify critical resources, and estimate IT-workforce-related integration costs and synergies.</v>
      </c>
      <c r="D1005" t="s">
        <v>590</v>
      </c>
      <c r="E1005" t="s">
        <v>2640</v>
      </c>
    </row>
    <row r="1006" spans="1:5" x14ac:dyDescent="0.35">
      <c r="A1006" t="s">
        <v>9</v>
      </c>
      <c r="B1006" t="s">
        <v>2641</v>
      </c>
      <c r="C1006" t="str">
        <f t="shared" si="15"/>
        <v>Consultation - PhoneConsult on communication strategy and tools.</v>
      </c>
      <c r="D1006" t="s">
        <v>593</v>
      </c>
      <c r="E1006" t="s">
        <v>594</v>
      </c>
    </row>
    <row r="1007" spans="1:5" x14ac:dyDescent="0.35">
      <c r="A1007" t="s">
        <v>9</v>
      </c>
      <c r="B1007" t="s">
        <v>2659</v>
      </c>
      <c r="C1007" t="str">
        <f t="shared" si="15"/>
        <v>Consultation - PhoneGartner Peer Insights Tool walk through where you can learn from the successes &amp; failures of your peers, or help others by contributing a review.</v>
      </c>
      <c r="D1007" t="s">
        <v>2660</v>
      </c>
      <c r="E1007" t="s">
        <v>2661</v>
      </c>
    </row>
    <row r="1008" spans="1:5" x14ac:dyDescent="0.35">
      <c r="A1008" t="s">
        <v>9</v>
      </c>
      <c r="B1008" t="s">
        <v>2667</v>
      </c>
      <c r="C1008" t="str">
        <f t="shared" si="15"/>
        <v>Consultation - PhoneCreate a business case for ERP modernization that aligns with business goals, delineates responsibilities and defines metrics for success.</v>
      </c>
      <c r="D1008" t="s">
        <v>753</v>
      </c>
      <c r="E1008" t="s">
        <v>2668</v>
      </c>
    </row>
    <row r="1009" spans="1:5" x14ac:dyDescent="0.35">
      <c r="A1009" t="s">
        <v>9</v>
      </c>
      <c r="B1009" t="s">
        <v>2671</v>
      </c>
      <c r="C1009" t="str">
        <f t="shared" si="15"/>
        <v>Consultation - PhoneMap out a communication strategy for stakeholders that shifts the perception of ERP from legacy transactional technology to digital business enabler.</v>
      </c>
      <c r="D1009" t="s">
        <v>2672</v>
      </c>
      <c r="E1009" t="s">
        <v>2673</v>
      </c>
    </row>
    <row r="1010" spans="1:5" x14ac:dyDescent="0.35">
      <c r="A1010" t="s">
        <v>9</v>
      </c>
      <c r="B1010" t="s">
        <v>2679</v>
      </c>
      <c r="C1010" t="str">
        <f t="shared" si="15"/>
        <v xml:space="preserve">Consultation - PhoneDiscuss establishing best practices in working with business stakeholders to maintain focus on benefits realization throughout the ERP life cycle.
</v>
      </c>
    </row>
    <row r="1011" spans="1:5" x14ac:dyDescent="0.35">
      <c r="A1011" t="s">
        <v>9</v>
      </c>
      <c r="B1011" t="s">
        <v>2682</v>
      </c>
      <c r="C1011" t="str">
        <f t="shared" si="15"/>
        <v>Consultation - PhonePrepare a business case for ERP modernization that defines business benefits, delineates responsibilities and ownership and maps metrics for success.</v>
      </c>
      <c r="D1011" t="s">
        <v>753</v>
      </c>
      <c r="E1011" t="s">
        <v>2668</v>
      </c>
    </row>
    <row r="1012" spans="1:5" x14ac:dyDescent="0.35">
      <c r="A1012" t="s">
        <v>9</v>
      </c>
      <c r="B1012" t="s">
        <v>2686</v>
      </c>
      <c r="C1012" t="str">
        <f t="shared" si="15"/>
        <v>Consultation - PhoneDevelop a selection of vignettes to bring the strategy to life. Create a 1 page version of the strategy. Craft a “change story” for the organization.</v>
      </c>
      <c r="D1012" t="s">
        <v>66</v>
      </c>
      <c r="E1012" t="s">
        <v>2687</v>
      </c>
    </row>
    <row r="1013" spans="1:5" x14ac:dyDescent="0.35">
      <c r="A1013" t="s">
        <v>9</v>
      </c>
      <c r="B1013" t="s">
        <v>2699</v>
      </c>
      <c r="C1013" t="str">
        <f t="shared" si="15"/>
        <v xml:space="preserve">Consultation - PhoneReview key messages from the book Switch: "Direct the Rider, Motivate the Elephant, Shape the Path." </v>
      </c>
      <c r="D1013" t="s">
        <v>845</v>
      </c>
      <c r="E1013" t="s">
        <v>846</v>
      </c>
    </row>
    <row r="1014" spans="1:5" x14ac:dyDescent="0.35">
      <c r="A1014" t="s">
        <v>9</v>
      </c>
      <c r="B1014" t="s">
        <v>2707</v>
      </c>
      <c r="C1014" t="str">
        <f t="shared" si="15"/>
        <v>Consultation - PhoneOngoing - working sessions with Executive Partner to review upcoming leadership presentations.</v>
      </c>
      <c r="D1014" t="s">
        <v>2708</v>
      </c>
      <c r="E1014" t="s">
        <v>2709</v>
      </c>
    </row>
    <row r="1015" spans="1:5" x14ac:dyDescent="0.35">
      <c r="A1015" t="s">
        <v>9</v>
      </c>
      <c r="B1015" t="s">
        <v>2713</v>
      </c>
      <c r="C1015" t="str">
        <f t="shared" si="15"/>
        <v>Consultation - PhoneDefine an inspiring vision and a compelling "why" that will motivate employees and communicate it consistently to build understanding.</v>
      </c>
      <c r="D1015" t="s">
        <v>2003</v>
      </c>
      <c r="E1015" t="s">
        <v>2004</v>
      </c>
    </row>
    <row r="1016" spans="1:5" x14ac:dyDescent="0.35">
      <c r="A1016" t="s">
        <v>9</v>
      </c>
      <c r="B1016" t="s">
        <v>2724</v>
      </c>
      <c r="C1016" t="str">
        <f t="shared" si="15"/>
        <v>Consultation - PhoneConsult on criteria to prioritize innovative experience ideas to build a differentiated customer experience. Read first:</v>
      </c>
      <c r="D1016" t="s">
        <v>2725</v>
      </c>
      <c r="E1016" t="s">
        <v>2726</v>
      </c>
    </row>
    <row r="1017" spans="1:5" x14ac:dyDescent="0.35">
      <c r="A1017" t="s">
        <v>9</v>
      </c>
      <c r="B1017" t="s">
        <v>2735</v>
      </c>
      <c r="C1017" t="str">
        <f t="shared" si="15"/>
        <v>Consultation - PhoneIntroduction to how Gartner's peer insights can help you choose enterprise IT software and services with confidence.</v>
      </c>
      <c r="D1017" t="s">
        <v>2736</v>
      </c>
      <c r="E1017" t="s">
        <v>2737</v>
      </c>
    </row>
    <row r="1018" spans="1:5" x14ac:dyDescent="0.35">
      <c r="A1018" t="s">
        <v>9</v>
      </c>
      <c r="B1018" t="s">
        <v>2746</v>
      </c>
      <c r="C1018" t="str">
        <f t="shared" si="15"/>
        <v xml:space="preserve">Consultation - PhoneDevelop a “change story” using the From/To/Because model to help employees navigate a change journey. </v>
      </c>
      <c r="D1018" t="s">
        <v>969</v>
      </c>
      <c r="E1018" t="s">
        <v>67</v>
      </c>
    </row>
    <row r="1019" spans="1:5" x14ac:dyDescent="0.35">
      <c r="A1019" t="s">
        <v>9</v>
      </c>
      <c r="B1019" t="s">
        <v>2749</v>
      </c>
      <c r="C1019" t="str">
        <f t="shared" si="15"/>
        <v xml:space="preserve">Consultation - PhoneReview key messages from the book Switch: "Direct the Rider, Motivate the Elephant, Shape the Path."  </v>
      </c>
      <c r="D1019" t="s">
        <v>845</v>
      </c>
      <c r="E1019" t="s">
        <v>846</v>
      </c>
    </row>
    <row r="1020" spans="1:5" x14ac:dyDescent="0.35">
      <c r="A1020" t="s">
        <v>9</v>
      </c>
      <c r="B1020" t="s">
        <v>2754</v>
      </c>
      <c r="C1020" t="str">
        <f t="shared" si="15"/>
        <v>Consultation - PhoneDownload the free e-book "Culture in Action"  - A Leader’s Guide to Building an Organizational Culture That Performs.</v>
      </c>
      <c r="D1020" t="s">
        <v>986</v>
      </c>
      <c r="E1020" t="s">
        <v>987</v>
      </c>
    </row>
    <row r="1021" spans="1:5" x14ac:dyDescent="0.35">
      <c r="A1021" t="s">
        <v>9</v>
      </c>
      <c r="B1021" t="s">
        <v>2769</v>
      </c>
      <c r="C1021" t="str">
        <f t="shared" si="15"/>
        <v>Consultation - PhoneDiscuss critical success factors for successful execution of application rationalization, e.g. business engagement and change management.</v>
      </c>
      <c r="D1021" t="s">
        <v>2770</v>
      </c>
      <c r="E1021" t="s">
        <v>2771</v>
      </c>
    </row>
    <row r="1022" spans="1:5" x14ac:dyDescent="0.35">
      <c r="A1022" t="s">
        <v>9</v>
      </c>
      <c r="B1022" t="s">
        <v>2780</v>
      </c>
      <c r="C1022" t="str">
        <f t="shared" si="15"/>
        <v>Consultation - PhoneConsult on the four practices in EA to build collaboration.</v>
      </c>
      <c r="D1022" t="s">
        <v>2781</v>
      </c>
      <c r="E1022" t="s">
        <v>2782</v>
      </c>
    </row>
    <row r="1023" spans="1:5" x14ac:dyDescent="0.35">
      <c r="A1023" t="s">
        <v>9</v>
      </c>
      <c r="B1023" t="s">
        <v>2791</v>
      </c>
      <c r="C1023" t="str">
        <f t="shared" si="15"/>
        <v>Consultation - PhoneConsultation to evolve EA practices to dynamically reflect the changing nature of a massive business disruption.</v>
      </c>
      <c r="D1023" t="s">
        <v>2792</v>
      </c>
      <c r="E1023" t="s">
        <v>1595</v>
      </c>
    </row>
    <row r="1024" spans="1:5" x14ac:dyDescent="0.35">
      <c r="A1024" t="s">
        <v>9</v>
      </c>
      <c r="B1024" t="s">
        <v>2797</v>
      </c>
      <c r="C1024" t="str">
        <f t="shared" si="15"/>
        <v xml:space="preserve">Consultation - PhoneCraft an Analytics and BI strategy that is in line with the vision and goals of the organization. </v>
      </c>
      <c r="D1024" t="s">
        <v>323</v>
      </c>
      <c r="E1024" t="s">
        <v>2798</v>
      </c>
    </row>
    <row r="1025" spans="1:5" x14ac:dyDescent="0.35">
      <c r="A1025" t="s">
        <v>9</v>
      </c>
      <c r="B1025" t="s">
        <v>2818</v>
      </c>
      <c r="C1025" t="str">
        <f t="shared" si="15"/>
        <v xml:space="preserve">Consultation - PhoneReview progress and discuss how to improve Analytics and BI adoption in the organization. </v>
      </c>
      <c r="D1025" t="s">
        <v>2819</v>
      </c>
      <c r="E1025" t="s">
        <v>2820</v>
      </c>
    </row>
    <row r="1026" spans="1:5" x14ac:dyDescent="0.35">
      <c r="A1026" t="s">
        <v>9</v>
      </c>
      <c r="B1026" t="s">
        <v>2804</v>
      </c>
      <c r="C1026" t="str">
        <f t="shared" si="15"/>
        <v xml:space="preserve">Consultation - PhoneDiscuss the most optimal organizational model for Analytics and BI roadmap execution. </v>
      </c>
      <c r="D1026" t="s">
        <v>2805</v>
      </c>
      <c r="E1026" t="s">
        <v>2806</v>
      </c>
    </row>
    <row r="1027" spans="1:5" x14ac:dyDescent="0.35">
      <c r="A1027" t="s">
        <v>9</v>
      </c>
      <c r="B1027" t="s">
        <v>2831</v>
      </c>
      <c r="C1027" t="str">
        <f t="shared" ref="C1027:C1090" si="16">CONCATENATE(A1027,B1027)</f>
        <v>Consultation - PhoneReview the organizational structure to align for data and analytics roles that are fit for the future.</v>
      </c>
      <c r="D1027" t="s">
        <v>2832</v>
      </c>
      <c r="E1027" t="s">
        <v>2833</v>
      </c>
    </row>
    <row r="1028" spans="1:5" x14ac:dyDescent="0.35">
      <c r="A1028" t="s">
        <v>9</v>
      </c>
      <c r="B1028" t="s">
        <v>2837</v>
      </c>
      <c r="C1028" t="str">
        <f t="shared" si="16"/>
        <v>Consultation - PhoneReview CIO research on how to become a trusted advisor to the organization's senior leaders.</v>
      </c>
      <c r="D1028" t="s">
        <v>2838</v>
      </c>
      <c r="E1028" t="s">
        <v>2839</v>
      </c>
    </row>
    <row r="1029" spans="1:5" x14ac:dyDescent="0.35">
      <c r="A1029" t="s">
        <v>9</v>
      </c>
      <c r="B1029" t="s">
        <v>2849</v>
      </c>
      <c r="C1029" t="str">
        <f t="shared" si="16"/>
        <v>Consultation - PhoneReview Gartner's ESCAPE model embraces six steps to help CIOs grow into change leaders who can build sustainable digital environments.</v>
      </c>
      <c r="D1029" t="s">
        <v>2279</v>
      </c>
      <c r="E1029" t="s">
        <v>2280</v>
      </c>
    </row>
    <row r="1030" spans="1:5" x14ac:dyDescent="0.35">
      <c r="A1030" t="s">
        <v>9</v>
      </c>
      <c r="B1030" t="s">
        <v>2851</v>
      </c>
      <c r="C1030" t="str">
        <f t="shared" si="16"/>
        <v>Consultation - PhoneLeverage scenario planning as a tool to effectively prepare effectively for uncertainty, risk and competitive pressure.</v>
      </c>
      <c r="D1030" t="s">
        <v>2852</v>
      </c>
      <c r="E1030" t="s">
        <v>2853</v>
      </c>
    </row>
    <row r="1031" spans="1:5" x14ac:dyDescent="0.35">
      <c r="A1031" t="s">
        <v>9</v>
      </c>
      <c r="B1031" t="s">
        <v>2857</v>
      </c>
      <c r="C1031" t="str">
        <f t="shared" si="16"/>
        <v>Consultation - Phone Discuss to assess the cyber threats to the organization and also develop a strategic road-map to tackle these threats.</v>
      </c>
      <c r="D1031" t="s">
        <v>1708</v>
      </c>
      <c r="E1031" t="s">
        <v>1709</v>
      </c>
    </row>
    <row r="1032" spans="1:5" x14ac:dyDescent="0.35">
      <c r="A1032" t="s">
        <v>9</v>
      </c>
      <c r="B1032" t="s">
        <v>2878</v>
      </c>
      <c r="C1032" t="str">
        <f t="shared" si="16"/>
        <v>Consultation - PhoneAssess any new requirement that would make the cybersecurity even more full proof</v>
      </c>
      <c r="D1032" t="s">
        <v>2879</v>
      </c>
      <c r="E1032" t="s">
        <v>2880</v>
      </c>
    </row>
    <row r="1033" spans="1:5" x14ac:dyDescent="0.35">
      <c r="A1033" t="s">
        <v>9</v>
      </c>
      <c r="B1033" t="s">
        <v>2881</v>
      </c>
      <c r="C1033" t="str">
        <f t="shared" si="16"/>
        <v>Consultation - PhoneConsultation on current situation, complexities and way forward.</v>
      </c>
    </row>
    <row r="1034" spans="1:5" x14ac:dyDescent="0.35">
      <c r="A1034" t="s">
        <v>9</v>
      </c>
      <c r="B1034" t="s">
        <v>2882</v>
      </c>
      <c r="C1034" t="str">
        <f t="shared" si="16"/>
        <v>Consultation - PhoneMonthly Consultation</v>
      </c>
    </row>
    <row r="1035" spans="1:5" x14ac:dyDescent="0.35">
      <c r="A1035" t="s">
        <v>9</v>
      </c>
      <c r="B1035" t="s">
        <v>2886</v>
      </c>
      <c r="C1035" t="str">
        <f t="shared" si="16"/>
        <v>Consultation - PhoneConsult on key issues, goals and lay roadmap for digital workplace strategy:</v>
      </c>
      <c r="D1035" t="s">
        <v>2887</v>
      </c>
      <c r="E1035" t="s">
        <v>2888</v>
      </c>
    </row>
    <row r="1036" spans="1:5" x14ac:dyDescent="0.35">
      <c r="A1036" t="s">
        <v>9</v>
      </c>
      <c r="B1036" t="s">
        <v>2905</v>
      </c>
      <c r="C1036" t="str">
        <f t="shared" si="16"/>
        <v xml:space="preserve">Consultation - PhoneExplore mobility initiative for an on-the-go workforce:  </v>
      </c>
      <c r="D1036" t="s">
        <v>186</v>
      </c>
      <c r="E1036" t="s">
        <v>2906</v>
      </c>
    </row>
    <row r="1037" spans="1:5" x14ac:dyDescent="0.35">
      <c r="A1037" t="s">
        <v>9</v>
      </c>
      <c r="B1037" t="s">
        <v>2917</v>
      </c>
      <c r="C1037" t="str">
        <f t="shared" si="16"/>
        <v>Consultation - PhoneDiscussion on possible disruptions and applications of Blockchain specific to Higher Education. Leverage Gartner report:</v>
      </c>
      <c r="D1037" t="s">
        <v>1926</v>
      </c>
      <c r="E1037" t="s">
        <v>2918</v>
      </c>
    </row>
    <row r="1038" spans="1:5" x14ac:dyDescent="0.35">
      <c r="A1038" t="s">
        <v>9</v>
      </c>
      <c r="B1038" t="s">
        <v>2924</v>
      </c>
      <c r="C1038" t="str">
        <f t="shared" si="16"/>
        <v xml:space="preserve">Consultation - PhoneConsult on market conditions for Blockchain and insight on how to create proof-of-concept initiatives. 
</v>
      </c>
      <c r="D1038" t="s">
        <v>2925</v>
      </c>
      <c r="E1038" t="s">
        <v>2926</v>
      </c>
    </row>
    <row r="1039" spans="1:5" x14ac:dyDescent="0.35">
      <c r="A1039" t="s">
        <v>9</v>
      </c>
      <c r="B1039" t="s">
        <v>2936</v>
      </c>
      <c r="C1039" t="str">
        <f t="shared" si="16"/>
        <v xml:space="preserve">Consultation - PhoneDiscussion on scalability for Blockchain without disrupting critical processes.  </v>
      </c>
      <c r="D1039" t="s">
        <v>2937</v>
      </c>
      <c r="E1039" t="s">
        <v>2938</v>
      </c>
    </row>
    <row r="1040" spans="1:5" x14ac:dyDescent="0.35">
      <c r="A1040" t="s">
        <v>9</v>
      </c>
      <c r="B1040" t="s">
        <v>2939</v>
      </c>
      <c r="C1040" t="str">
        <f t="shared" si="16"/>
        <v xml:space="preserve">Consultation - PhoneExplore the market for consultancy services to navigate the fast-evolving blockchain world.  </v>
      </c>
      <c r="D1040" t="s">
        <v>2940</v>
      </c>
      <c r="E1040" t="s">
        <v>2941</v>
      </c>
    </row>
    <row r="1041" spans="1:5" x14ac:dyDescent="0.35">
      <c r="A1041" t="s">
        <v>9</v>
      </c>
      <c r="B1041" t="s">
        <v>2950</v>
      </c>
      <c r="C1041" t="str">
        <f t="shared" si="16"/>
        <v>Consultation - PhoneReview initiatives. Plan next steps.</v>
      </c>
    </row>
    <row r="1042" spans="1:5" x14ac:dyDescent="0.35">
      <c r="A1042" t="s">
        <v>9</v>
      </c>
      <c r="B1042" t="s">
        <v>2951</v>
      </c>
      <c r="C1042" t="str">
        <f t="shared" si="16"/>
        <v xml:space="preserve">Consultation - PhoneBuild CIO Leadership Forum Agenda. Schedule upcoming contract reviews. </v>
      </c>
    </row>
    <row r="1043" spans="1:5" x14ac:dyDescent="0.35">
      <c r="A1043" t="s">
        <v>9</v>
      </c>
      <c r="B1043" t="s">
        <v>2952</v>
      </c>
      <c r="C1043" t="str">
        <f t="shared" si="16"/>
        <v xml:space="preserve">Consultation - PhoneResearch highlights - New Year Resolutions: </v>
      </c>
      <c r="D1043" t="s">
        <v>866</v>
      </c>
      <c r="E1043" t="s">
        <v>2953</v>
      </c>
    </row>
    <row r="1044" spans="1:5" x14ac:dyDescent="0.35">
      <c r="A1044" t="s">
        <v>9</v>
      </c>
      <c r="B1044" t="s">
        <v>2954</v>
      </c>
      <c r="C1044" t="str">
        <f t="shared" si="16"/>
        <v xml:space="preserve">Consultation - PhoneConduct annual strategy review. Preparing for an effective year. </v>
      </c>
    </row>
    <row r="1045" spans="1:5" x14ac:dyDescent="0.35">
      <c r="A1045" t="s">
        <v>9</v>
      </c>
      <c r="B1045" t="s">
        <v>2955</v>
      </c>
      <c r="C1045" t="str">
        <f t="shared" si="16"/>
        <v xml:space="preserve">Consultation - PhoneDiscuss options for webinar/lunch and learn topics. </v>
      </c>
    </row>
    <row r="1046" spans="1:5" x14ac:dyDescent="0.35">
      <c r="A1046" t="s">
        <v>9</v>
      </c>
      <c r="B1046" t="s">
        <v>2956</v>
      </c>
      <c r="C1046" t="str">
        <f t="shared" si="16"/>
        <v>Consultation - PhoneParticipate in CIO survey.</v>
      </c>
    </row>
    <row r="1047" spans="1:5" x14ac:dyDescent="0.35">
      <c r="A1047" t="s">
        <v>9</v>
      </c>
      <c r="B1047" t="s">
        <v>2957</v>
      </c>
      <c r="C1047" t="str">
        <f t="shared" si="16"/>
        <v xml:space="preserve">Consultation - PhoneAnnual cost optimization review. </v>
      </c>
    </row>
    <row r="1048" spans="1:5" x14ac:dyDescent="0.35">
      <c r="A1048" t="s">
        <v>9</v>
      </c>
      <c r="B1048" t="s">
        <v>2960</v>
      </c>
      <c r="C1048" t="str">
        <f t="shared" si="16"/>
        <v xml:space="preserve">Consultation - PhoneSchedule upcoming contract reviews. </v>
      </c>
    </row>
    <row r="1049" spans="1:5" x14ac:dyDescent="0.35">
      <c r="A1049" t="s">
        <v>9</v>
      </c>
      <c r="B1049" t="s">
        <v>2961</v>
      </c>
      <c r="C1049" t="str">
        <f t="shared" si="16"/>
        <v xml:space="preserve">Consultation - PhoneBuild Symposium agenda. </v>
      </c>
    </row>
    <row r="1050" spans="1:5" x14ac:dyDescent="0.35">
      <c r="A1050" t="s">
        <v>9</v>
      </c>
      <c r="B1050" t="s">
        <v>2963</v>
      </c>
      <c r="C1050" t="str">
        <f t="shared" si="16"/>
        <v>Consultation - PhonePortal refresh - align Key Initiative tracks.</v>
      </c>
    </row>
    <row r="1051" spans="1:5" x14ac:dyDescent="0.35">
      <c r="A1051" t="s">
        <v>9</v>
      </c>
      <c r="B1051" t="s">
        <v>2964</v>
      </c>
      <c r="C1051" t="str">
        <f t="shared" si="16"/>
        <v>Consultation - PhoneUnderstand the drivers &amp; goals for project to product transformation. Discuss shifts required and plan next steps.</v>
      </c>
      <c r="D1051" t="s">
        <v>2965</v>
      </c>
      <c r="E1051" t="s">
        <v>1901</v>
      </c>
    </row>
    <row r="1052" spans="1:5" x14ac:dyDescent="0.35">
      <c r="A1052" t="s">
        <v>9</v>
      </c>
      <c r="B1052" t="s">
        <v>2973</v>
      </c>
      <c r="C1052" t="str">
        <f t="shared" si="16"/>
        <v xml:space="preserve">Consultation - PhoneDiscuss new product management roles and action plan on hiring talent to bridge the skill gap.
</v>
      </c>
      <c r="D1052" t="s">
        <v>2974</v>
      </c>
      <c r="E1052" t="s">
        <v>2975</v>
      </c>
    </row>
    <row r="1053" spans="1:5" x14ac:dyDescent="0.35">
      <c r="A1053" t="s">
        <v>9</v>
      </c>
      <c r="B1053" t="s">
        <v>2984</v>
      </c>
      <c r="C1053" t="str">
        <f t="shared" si="16"/>
        <v>Consultation - PhoneDiscuss how metrics for success vary for a product-centric model compared to a project-based model.</v>
      </c>
      <c r="D1053" t="s">
        <v>2985</v>
      </c>
      <c r="E1053" t="s">
        <v>2986</v>
      </c>
    </row>
    <row r="1054" spans="1:5" x14ac:dyDescent="0.35">
      <c r="A1054" t="s">
        <v>9</v>
      </c>
      <c r="B1054" t="s">
        <v>2993</v>
      </c>
      <c r="C1054" t="str">
        <f t="shared" si="16"/>
        <v>Consultation - PhoneReview progress and plan next steps.</v>
      </c>
    </row>
    <row r="1055" spans="1:5" x14ac:dyDescent="0.35">
      <c r="A1055" t="s">
        <v>9</v>
      </c>
      <c r="B1055" t="s">
        <v>3000</v>
      </c>
      <c r="C1055" t="str">
        <f t="shared" si="16"/>
        <v>Consultation - PhoneDiscuss new product management roles and action plan on hiring talent to bridge the skill gap.</v>
      </c>
      <c r="D1055" t="s">
        <v>2974</v>
      </c>
      <c r="E1055" t="s">
        <v>2975</v>
      </c>
    </row>
    <row r="1056" spans="1:5" x14ac:dyDescent="0.35">
      <c r="A1056" t="s">
        <v>9</v>
      </c>
      <c r="B1056" t="s">
        <v>3005</v>
      </c>
      <c r="C1056" t="str">
        <f t="shared" si="16"/>
        <v>Consultation - PhoneDiscuss current state and future state vision. Understand blockchain possibilities to maximize success.</v>
      </c>
      <c r="D1056" t="s">
        <v>3006</v>
      </c>
      <c r="E1056" t="s">
        <v>3007</v>
      </c>
    </row>
    <row r="1057" spans="1:5" x14ac:dyDescent="0.35">
      <c r="A1057" t="s">
        <v>9</v>
      </c>
      <c r="B1057" t="s">
        <v>3020</v>
      </c>
      <c r="C1057" t="str">
        <f t="shared" si="16"/>
        <v>Consultation - PhoneLeverage models and frameworks to help make the right investments.</v>
      </c>
      <c r="D1057" t="s">
        <v>3021</v>
      </c>
      <c r="E1057" t="s">
        <v>3022</v>
      </c>
    </row>
    <row r="1058" spans="1:5" x14ac:dyDescent="0.35">
      <c r="A1058" t="s">
        <v>9</v>
      </c>
      <c r="B1058" t="s">
        <v>3027</v>
      </c>
      <c r="C1058" t="str">
        <f t="shared" si="16"/>
        <v>Consultation - PhoneReview framework that maps strategic business risks with operational and IT risks posed by blockchain initiatives.</v>
      </c>
      <c r="D1058" t="s">
        <v>3028</v>
      </c>
      <c r="E1058" t="s">
        <v>3029</v>
      </c>
    </row>
    <row r="1059" spans="1:5" x14ac:dyDescent="0.35">
      <c r="A1059" t="s">
        <v>9</v>
      </c>
      <c r="B1059" t="s">
        <v>3030</v>
      </c>
      <c r="C1059" t="str">
        <f t="shared" si="16"/>
        <v>Consultation - PhoneDiscussion around handling challenges and assessing technical and operating model scalability factors.</v>
      </c>
      <c r="D1059" t="s">
        <v>2937</v>
      </c>
      <c r="E1059" t="s">
        <v>3031</v>
      </c>
    </row>
    <row r="1060" spans="1:5" x14ac:dyDescent="0.35">
      <c r="A1060" t="s">
        <v>9</v>
      </c>
      <c r="B1060" t="s">
        <v>3035</v>
      </c>
      <c r="C1060" t="str">
        <f t="shared" si="16"/>
        <v>Consultation - PhoneTrack progress, identify gaps and explore opportunities. Draft a plan for next steps.</v>
      </c>
    </row>
    <row r="1061" spans="1:5" x14ac:dyDescent="0.35">
      <c r="A1061" t="s">
        <v>9</v>
      </c>
      <c r="B1061" t="s">
        <v>3039</v>
      </c>
      <c r="C1061" t="str">
        <f t="shared" si="16"/>
        <v>Consultation - PhonePrioritize and evaluate initiatives with best match to strategic goals.</v>
      </c>
      <c r="D1061" t="s">
        <v>3033</v>
      </c>
      <c r="E1061" t="s">
        <v>3034</v>
      </c>
    </row>
    <row r="1062" spans="1:5" x14ac:dyDescent="0.35">
      <c r="A1062" t="s">
        <v>9</v>
      </c>
      <c r="B1062" t="s">
        <v>3044</v>
      </c>
      <c r="C1062" t="str">
        <f t="shared" si="16"/>
        <v>Consultation - PhoneConsult our EP on the framework that maps strategic business risks with operational and IT risks posed by blockchain initiatives</v>
      </c>
      <c r="D1062" t="s">
        <v>3028</v>
      </c>
      <c r="E1062" t="s">
        <v>3029</v>
      </c>
    </row>
    <row r="1063" spans="1:5" x14ac:dyDescent="0.35">
      <c r="A1063" t="s">
        <v>9</v>
      </c>
      <c r="B1063" t="s">
        <v>3048</v>
      </c>
      <c r="C1063" t="str">
        <f t="shared" si="16"/>
        <v>Consultation - PhoneReview workstream outputs and provide feedback on solidifying requirements documents</v>
      </c>
    </row>
    <row r="1064" spans="1:5" x14ac:dyDescent="0.35">
      <c r="A1064" t="s">
        <v>9</v>
      </c>
      <c r="B1064" t="s">
        <v>3055</v>
      </c>
      <c r="C1064" t="str">
        <f t="shared" si="16"/>
        <v>Consultation - PhoneReview all work artifacts created to date and provide feedback</v>
      </c>
    </row>
    <row r="1065" spans="1:5" x14ac:dyDescent="0.35">
      <c r="A1065" t="s">
        <v>9</v>
      </c>
      <c r="B1065" t="s">
        <v>3058</v>
      </c>
      <c r="C1065" t="str">
        <f t="shared" si="16"/>
        <v>Consultation - PhoneReview network security strategy and design documents created and provide feedback.  Offer analyst review</v>
      </c>
    </row>
    <row r="1066" spans="1:5" x14ac:dyDescent="0.35">
      <c r="A1066" t="s">
        <v>9</v>
      </c>
      <c r="B1066" t="s">
        <v>3066</v>
      </c>
      <c r="C1066" t="str">
        <f t="shared" si="16"/>
        <v>Consultation - PhoneFinalize network and gateway security strategies, approaches and design. Work on presentation and implementation of next steps</v>
      </c>
    </row>
    <row r="1067" spans="1:5" x14ac:dyDescent="0.35">
      <c r="A1067" t="s">
        <v>9</v>
      </c>
      <c r="B1067" t="s">
        <v>3072</v>
      </c>
      <c r="C1067" t="str">
        <f t="shared" si="16"/>
        <v>Consultation - PhoneDiscuss companies current capabilities and how to prepare going forward.</v>
      </c>
    </row>
    <row r="1068" spans="1:5" x14ac:dyDescent="0.35">
      <c r="A1068" t="s">
        <v>9</v>
      </c>
      <c r="B1068" t="s">
        <v>3087</v>
      </c>
      <c r="C1068" t="str">
        <f t="shared" si="16"/>
        <v>Consultation - PhoneCollaborate to review, build or update VMO Charter, Mission and RACI and form VMO Steering Committee</v>
      </c>
    </row>
    <row r="1069" spans="1:5" x14ac:dyDescent="0.35">
      <c r="A1069" t="s">
        <v>9</v>
      </c>
      <c r="B1069" t="s">
        <v>3090</v>
      </c>
      <c r="C1069" t="str">
        <f t="shared" si="16"/>
        <v>Consultation - PhoneExamine current team capabilities and propose changes to structure, skills or individuals</v>
      </c>
    </row>
    <row r="1070" spans="1:5" x14ac:dyDescent="0.35">
      <c r="A1070" t="s">
        <v>9</v>
      </c>
      <c r="B1070" t="s">
        <v>3094</v>
      </c>
      <c r="C1070" t="str">
        <f t="shared" si="16"/>
        <v>Consultation - Phone Create value statement to Steering Committee to gain approval for VMO path forward.</v>
      </c>
    </row>
    <row r="1071" spans="1:5" x14ac:dyDescent="0.35">
      <c r="A1071" t="s">
        <v>9</v>
      </c>
      <c r="B1071" t="s">
        <v>3100</v>
      </c>
      <c r="C1071" t="str">
        <f t="shared" si="16"/>
        <v>Consultation - PhoneBuild messaging to key stakeholders on VMO value; identify five vendors with which to pilot scorecards</v>
      </c>
    </row>
    <row r="1072" spans="1:5" x14ac:dyDescent="0.35">
      <c r="A1072" t="s">
        <v>9</v>
      </c>
      <c r="B1072" t="s">
        <v>3104</v>
      </c>
      <c r="C1072" t="str">
        <f t="shared" si="16"/>
        <v>Consultation - PhoneReview scorecard results and process; develop and implement approach to vendor feedback</v>
      </c>
    </row>
    <row r="1073" spans="1:3" x14ac:dyDescent="0.35">
      <c r="A1073" t="s">
        <v>9</v>
      </c>
      <c r="B1073" t="s">
        <v>3109</v>
      </c>
      <c r="C1073" t="str">
        <f t="shared" si="16"/>
        <v>Consultation - Phone Form structure and process to segment vendors into well-defined, meaningful segments</v>
      </c>
    </row>
    <row r="1074" spans="1:3" x14ac:dyDescent="0.35">
      <c r="A1074" t="s">
        <v>9</v>
      </c>
      <c r="B1074" t="s">
        <v>3111</v>
      </c>
      <c r="C1074" t="str">
        <f t="shared" si="16"/>
        <v>Consultation - PhoneLP call to understand digital transformation in the client context. Establish cadence, timeframes, critical outcome success factors</v>
      </c>
    </row>
    <row r="1075" spans="1:3" x14ac:dyDescent="0.35">
      <c r="A1075" t="s">
        <v>9</v>
      </c>
      <c r="B1075" t="s">
        <v>3122</v>
      </c>
      <c r="C1075" t="str">
        <f t="shared" si="16"/>
        <v>Consultation - PhoneConsultation on designing a comprehensive enterprise-agile transformation roadmap traversing culture, data and technology.</v>
      </c>
    </row>
    <row r="1076" spans="1:3" x14ac:dyDescent="0.35">
      <c r="A1076" t="s">
        <v>9</v>
      </c>
      <c r="B1076" t="s">
        <v>3135</v>
      </c>
      <c r="C1076" t="str">
        <f t="shared" si="16"/>
        <v xml:space="preserve">Consultation - PhoneDefine ways to customize employee experience </v>
      </c>
    </row>
    <row r="1077" spans="1:3" x14ac:dyDescent="0.35">
      <c r="A1077" t="s">
        <v>9</v>
      </c>
      <c r="B1077" t="s">
        <v>3136</v>
      </c>
      <c r="C1077" t="str">
        <f t="shared" si="16"/>
        <v xml:space="preserve">Consultation - PhoneDiscuss ways to nurture a digital culture for becoming a digital first organisation </v>
      </c>
    </row>
    <row r="1078" spans="1:3" x14ac:dyDescent="0.35">
      <c r="A1078" t="s">
        <v>9</v>
      </c>
      <c r="B1078" t="s">
        <v>3145</v>
      </c>
      <c r="C1078" t="str">
        <f t="shared" si="16"/>
        <v>Consultation - PhoneConsultation on building out IT Digital Business Technology Platforms</v>
      </c>
    </row>
    <row r="1079" spans="1:3" x14ac:dyDescent="0.35">
      <c r="A1079" t="s">
        <v>9</v>
      </c>
      <c r="B1079" t="s">
        <v>3153</v>
      </c>
      <c r="C1079" t="str">
        <f t="shared" si="16"/>
        <v>Consultation - PhoneLP call to discuss process optimization and future scope</v>
      </c>
    </row>
    <row r="1080" spans="1:3" x14ac:dyDescent="0.35">
      <c r="A1080" t="s">
        <v>9</v>
      </c>
      <c r="B1080" t="s">
        <v>3159</v>
      </c>
      <c r="C1080" t="str">
        <f t="shared" si="16"/>
        <v>Consultation - PhoneReview the entire engagement and address future state and other critical priorities</v>
      </c>
    </row>
    <row r="1081" spans="1:3" x14ac:dyDescent="0.35">
      <c r="A1081" t="s">
        <v>9</v>
      </c>
      <c r="B1081" t="s">
        <v>3160</v>
      </c>
      <c r="C1081" t="str">
        <f t="shared" si="16"/>
        <v>Consultation - PhoneService Kickoff call to draft an action plan, and agree on engagements steps. Establish cadence, timeframes and critical outcome success factors</v>
      </c>
    </row>
    <row r="1082" spans="1:3" x14ac:dyDescent="0.35">
      <c r="A1082" t="s">
        <v>9</v>
      </c>
      <c r="B1082" t="s">
        <v>3160</v>
      </c>
      <c r="C1082" t="str">
        <f t="shared" si="16"/>
        <v>Consultation - PhoneService Kickoff call to draft an action plan, and agree on engagements steps. Establish cadence, timeframes and critical outcome success factors</v>
      </c>
    </row>
    <row r="1083" spans="1:3" x14ac:dyDescent="0.35">
      <c r="A1083" t="s">
        <v>9</v>
      </c>
      <c r="B1083" t="s">
        <v>3171</v>
      </c>
      <c r="C1083" t="str">
        <f t="shared" si="16"/>
        <v xml:space="preserve">Consultation - PhoneLP Call to prepare a digital customer experience strategy
</v>
      </c>
    </row>
    <row r="1084" spans="1:3" x14ac:dyDescent="0.35">
      <c r="A1084" t="s">
        <v>9</v>
      </c>
      <c r="B1084" t="s">
        <v>3181</v>
      </c>
      <c r="C1084" t="str">
        <f t="shared" si="16"/>
        <v>Consultation - PhoneConnect with analyst to understand how to make customer service and support processes key differentiators.</v>
      </c>
    </row>
    <row r="1085" spans="1:3" x14ac:dyDescent="0.35">
      <c r="A1085" t="s">
        <v>9</v>
      </c>
      <c r="B1085" t="s">
        <v>3182</v>
      </c>
      <c r="C1085" t="str">
        <f t="shared" si="16"/>
        <v>Consultation - PhoneDiscuss tools and technologies to enhance customer experience</v>
      </c>
    </row>
    <row r="1086" spans="1:3" x14ac:dyDescent="0.35">
      <c r="A1086" t="s">
        <v>9</v>
      </c>
      <c r="B1086" t="s">
        <v>3194</v>
      </c>
      <c r="C1086" t="str">
        <f t="shared" si="16"/>
        <v>Consultation - PhoneDiscuss framework for continuous quality improvement</v>
      </c>
    </row>
    <row r="1087" spans="1:3" x14ac:dyDescent="0.35">
      <c r="A1087" t="s">
        <v>9</v>
      </c>
      <c r="B1087" t="s">
        <v>3159</v>
      </c>
      <c r="C1087" t="str">
        <f t="shared" si="16"/>
        <v>Consultation - PhoneReview the entire engagement and address future state and other critical priorities</v>
      </c>
    </row>
    <row r="1088" spans="1:3" x14ac:dyDescent="0.35">
      <c r="A1088" t="s">
        <v>9</v>
      </c>
      <c r="B1088" t="s">
        <v>3212</v>
      </c>
      <c r="C1088" t="str">
        <f t="shared" si="16"/>
        <v>Consultation - PhoneLP call  to draft an action plan, and agree on engagements steps. Establish cadence, timeframes and critical outcome success factors</v>
      </c>
    </row>
    <row r="1089" spans="1:3" x14ac:dyDescent="0.35">
      <c r="A1089" t="s">
        <v>9</v>
      </c>
      <c r="B1089" t="s">
        <v>3220</v>
      </c>
      <c r="C1089" t="str">
        <f t="shared" si="16"/>
        <v>Consultation - PhoneStrategies to ensure that the structural arrangement of IT relates to the assets that need to be optimized with typical options being technology</v>
      </c>
    </row>
    <row r="1090" spans="1:3" x14ac:dyDescent="0.35">
      <c r="A1090" t="s">
        <v>9</v>
      </c>
      <c r="B1090" t="s">
        <v>3227</v>
      </c>
      <c r="C1090" t="str">
        <f t="shared" si="16"/>
        <v>Consultation - PhoneConsultation with the LP to discuss current state assessment, identify blockers and discuss next steps</v>
      </c>
    </row>
    <row r="1091" spans="1:3" x14ac:dyDescent="0.35">
      <c r="A1091" t="s">
        <v>9</v>
      </c>
      <c r="B1091" t="s">
        <v>3232</v>
      </c>
      <c r="C1091" t="str">
        <f t="shared" ref="C1091:C1154" si="17">CONCATENATE(A1091,B1091)</f>
        <v xml:space="preserve">Consultation - PhoneConnect with analyst for a discussion on Service Delivery Models </v>
      </c>
    </row>
    <row r="1092" spans="1:3" x14ac:dyDescent="0.35">
      <c r="A1092" t="s">
        <v>9</v>
      </c>
      <c r="B1092" t="s">
        <v>3236</v>
      </c>
      <c r="C1092" t="str">
        <f t="shared" si="17"/>
        <v>Consultation - PhoneCall to dicuss progress and blockers</v>
      </c>
    </row>
    <row r="1093" spans="1:3" x14ac:dyDescent="0.35">
      <c r="A1093" t="s">
        <v>9</v>
      </c>
      <c r="B1093" t="s">
        <v>3248</v>
      </c>
      <c r="C1093" t="str">
        <f t="shared" si="17"/>
        <v xml:space="preserve">Consultation - PhoneLP call to discuss upcoming trends and technologies and stay updated </v>
      </c>
    </row>
    <row r="1094" spans="1:3" x14ac:dyDescent="0.35">
      <c r="A1094" t="s">
        <v>9</v>
      </c>
      <c r="B1094" t="s">
        <v>3159</v>
      </c>
      <c r="C1094" t="str">
        <f t="shared" si="17"/>
        <v>Consultation - PhoneReview the entire engagement and address future state and other critical priorities</v>
      </c>
    </row>
    <row r="1095" spans="1:3" x14ac:dyDescent="0.35">
      <c r="A1095" t="s">
        <v>9</v>
      </c>
      <c r="B1095" t="s">
        <v>3253</v>
      </c>
      <c r="C1095" t="str">
        <f t="shared" si="17"/>
        <v>Consultation - PhoneLP call to draft an action plan, and agree on engagements steps. Establish cadence, timeframes and critical outcome success factors</v>
      </c>
    </row>
    <row r="1096" spans="1:3" x14ac:dyDescent="0.35">
      <c r="A1096" t="s">
        <v>9</v>
      </c>
      <c r="B1096" t="s">
        <v>3262</v>
      </c>
      <c r="C1096" t="str">
        <f t="shared" si="17"/>
        <v>Consultation - PhoneConsultation call on engagement plan for the quarter</v>
      </c>
    </row>
    <row r="1097" spans="1:3" x14ac:dyDescent="0.35">
      <c r="A1097" t="s">
        <v>9</v>
      </c>
      <c r="B1097" t="s">
        <v>3271</v>
      </c>
      <c r="C1097" t="str">
        <f t="shared" si="17"/>
        <v>Consultation - PhoneLP call to discuss importance of Performance Management and how to proceed with collection of data and developing a score card and dashboard</v>
      </c>
    </row>
    <row r="1098" spans="1:3" x14ac:dyDescent="0.35">
      <c r="A1098" t="s">
        <v>9</v>
      </c>
      <c r="B1098" t="s">
        <v>3280</v>
      </c>
      <c r="C1098" t="str">
        <f t="shared" si="17"/>
        <v>Consultation - PhoneConsultation calls about engagement plan for the quarter</v>
      </c>
    </row>
    <row r="1099" spans="1:3" x14ac:dyDescent="0.35">
      <c r="A1099" t="s">
        <v>9</v>
      </c>
      <c r="B1099" t="s">
        <v>3285</v>
      </c>
      <c r="C1099" t="str">
        <f t="shared" si="17"/>
        <v>Consultation - Phone Review the entire engagement and address future state and other critical priorities</v>
      </c>
    </row>
    <row r="1100" spans="1:3" x14ac:dyDescent="0.35">
      <c r="A1100" t="s">
        <v>9</v>
      </c>
      <c r="B1100" t="s">
        <v>3289</v>
      </c>
      <c r="C1100" t="str">
        <f t="shared" si="17"/>
        <v>Consultation - PhoneLP call to draft an action plan, and agree on engagements steps. Establish cadence, timeframes and critical outcome success factors.</v>
      </c>
    </row>
    <row r="1101" spans="1:3" x14ac:dyDescent="0.35">
      <c r="A1101" t="s">
        <v>9</v>
      </c>
      <c r="B1101" t="s">
        <v>3297</v>
      </c>
      <c r="C1101" t="str">
        <f t="shared" si="17"/>
        <v>Consultation - PhoneConsultation on how to deliver business value from Artificial Intelligence</v>
      </c>
    </row>
    <row r="1102" spans="1:3" x14ac:dyDescent="0.35">
      <c r="A1102" t="s">
        <v>9</v>
      </c>
      <c r="B1102" t="s">
        <v>3306</v>
      </c>
      <c r="C1102" t="str">
        <f t="shared" si="17"/>
        <v>Consultation - PhoneLP call to discuss current state assessment and suggest remediation plan</v>
      </c>
    </row>
    <row r="1103" spans="1:3" x14ac:dyDescent="0.35">
      <c r="A1103" t="s">
        <v>9</v>
      </c>
      <c r="B1103" t="s">
        <v>3307</v>
      </c>
      <c r="C1103" t="str">
        <f t="shared" si="17"/>
        <v>Consultation - PhoneConsultation on best-in-class solutions with proven on-task performance and well-understood limitations and risks.</v>
      </c>
    </row>
    <row r="1104" spans="1:3" x14ac:dyDescent="0.35">
      <c r="A1104" t="s">
        <v>9</v>
      </c>
      <c r="B1104" t="s">
        <v>3313</v>
      </c>
      <c r="C1104" t="str">
        <f t="shared" si="17"/>
        <v>Consultation - PhoneLP call to discuss current state assessment, identify blockers and next steps</v>
      </c>
    </row>
    <row r="1105" spans="1:3" x14ac:dyDescent="0.35">
      <c r="A1105" t="s">
        <v>9</v>
      </c>
      <c r="B1105" t="s">
        <v>3319</v>
      </c>
      <c r="C1105" t="str">
        <f t="shared" si="17"/>
        <v>Consultation - PhoneMonthly consultation with the LP to discuss process optimization and future scope</v>
      </c>
    </row>
    <row r="1106" spans="1:3" x14ac:dyDescent="0.35">
      <c r="A1106" t="s">
        <v>9</v>
      </c>
      <c r="B1106" t="s">
        <v>3328</v>
      </c>
      <c r="C1106" t="str">
        <f t="shared" si="17"/>
        <v>Consultation - PhoneLP call to review MCPs / Action Plan and agree on engagements steps, establish cadence, timeframes and critical outcome success factor</v>
      </c>
    </row>
    <row r="1107" spans="1:3" x14ac:dyDescent="0.35">
      <c r="A1107" t="s">
        <v>9</v>
      </c>
      <c r="B1107" t="s">
        <v>3341</v>
      </c>
      <c r="C1107" t="str">
        <f t="shared" si="17"/>
        <v>Consultation - PhoneCall for current state assessment, identify gaps and building remediation plan</v>
      </c>
    </row>
    <row r="1108" spans="1:3" x14ac:dyDescent="0.35">
      <c r="A1108" t="s">
        <v>9</v>
      </c>
      <c r="B1108" t="s">
        <v>3351</v>
      </c>
      <c r="C1108" t="str">
        <f t="shared" si="17"/>
        <v xml:space="preserve">Consultation - PhoneConsultation on determining if the IT service portfolio will be used as part of a cost allocation, showback or chargeback initiative </v>
      </c>
    </row>
    <row r="1109" spans="1:3" x14ac:dyDescent="0.35">
      <c r="A1109" t="s">
        <v>9</v>
      </c>
      <c r="B1109" t="s">
        <v>3355</v>
      </c>
      <c r="C1109" t="str">
        <f t="shared" si="17"/>
        <v>Consultation - PhoneConsultation on measuring effectiveness of Service Management Process Improvements.</v>
      </c>
    </row>
    <row r="1110" spans="1:3" x14ac:dyDescent="0.35">
      <c r="A1110" t="s">
        <v>9</v>
      </c>
      <c r="B1110" t="s">
        <v>3153</v>
      </c>
      <c r="C1110" t="str">
        <f t="shared" si="17"/>
        <v>Consultation - PhoneLP call to discuss process optimization and future scope</v>
      </c>
    </row>
    <row r="1111" spans="1:3" x14ac:dyDescent="0.35">
      <c r="A1111" t="s">
        <v>9</v>
      </c>
      <c r="B1111" t="s">
        <v>3159</v>
      </c>
      <c r="C1111" t="str">
        <f t="shared" si="17"/>
        <v>Consultation - PhoneReview the entire engagement and address future state and other critical priorities</v>
      </c>
    </row>
    <row r="1112" spans="1:3" x14ac:dyDescent="0.35">
      <c r="A1112" t="s">
        <v>9</v>
      </c>
      <c r="B1112" t="s">
        <v>3368</v>
      </c>
      <c r="C1112" t="str">
        <f t="shared" si="17"/>
        <v xml:space="preserve">Consultation - PhoneLP Kickoff call to draft an action plan, and agree on engagements steps. Establish cadence, timeframes and critical outcome success factors </v>
      </c>
    </row>
    <row r="1113" spans="1:3" x14ac:dyDescent="0.35">
      <c r="A1113" t="s">
        <v>9</v>
      </c>
      <c r="B1113" t="s">
        <v>3381</v>
      </c>
      <c r="C1113" t="str">
        <f t="shared" si="17"/>
        <v xml:space="preserve">Consultation - PhoneLP call to define strategic plan and gather stakeholder feedback
</v>
      </c>
    </row>
    <row r="1114" spans="1:3" x14ac:dyDescent="0.35">
      <c r="A1114" t="s">
        <v>9</v>
      </c>
      <c r="B1114" t="s">
        <v>3401</v>
      </c>
      <c r="C1114" t="str">
        <f t="shared" si="17"/>
        <v>Consultation - PhoneTo ensure business agility together with a cohesive view of application and information infrastructures</v>
      </c>
    </row>
    <row r="1115" spans="1:3" x14ac:dyDescent="0.35">
      <c r="A1115" t="s">
        <v>9</v>
      </c>
      <c r="B1115" t="s">
        <v>3405</v>
      </c>
      <c r="C1115" t="str">
        <f t="shared" si="17"/>
        <v>Consultation - PhoneLP call to discuss on process optimization and future scope</v>
      </c>
    </row>
    <row r="1116" spans="1:3" x14ac:dyDescent="0.35">
      <c r="A1116" t="s">
        <v>9</v>
      </c>
      <c r="B1116" t="s">
        <v>3159</v>
      </c>
      <c r="C1116" t="str">
        <f t="shared" si="17"/>
        <v>Consultation - PhoneReview the entire engagement and address future state and other critical priorities</v>
      </c>
    </row>
    <row r="1117" spans="1:3" x14ac:dyDescent="0.35">
      <c r="A1117" t="s">
        <v>9</v>
      </c>
      <c r="B1117" t="s">
        <v>3409</v>
      </c>
      <c r="C1117" t="str">
        <f t="shared" si="17"/>
        <v>Consultation - PhoneLeadership Partner call to review MCPs / Action Plan and agree on engagements steps, establish cadence, timeframes and critical outcome success factor</v>
      </c>
    </row>
    <row r="1118" spans="1:3" x14ac:dyDescent="0.35">
      <c r="A1118" t="s">
        <v>9</v>
      </c>
      <c r="B1118" t="s">
        <v>3415</v>
      </c>
      <c r="C1118" t="str">
        <f t="shared" si="17"/>
        <v>Consultation - PhoneConsultation on how network planners and managers can optimize the network infrastructure to support Office 365</v>
      </c>
    </row>
    <row r="1119" spans="1:3" x14ac:dyDescent="0.35">
      <c r="A1119" t="s">
        <v>9</v>
      </c>
      <c r="B1119" t="s">
        <v>3416</v>
      </c>
      <c r="C1119" t="str">
        <f t="shared" si="17"/>
        <v>Consultation - PhoneConsultation on integration of cloud initiatives (Office 365) with the current technology and applications without disruptions</v>
      </c>
    </row>
    <row r="1120" spans="1:3" x14ac:dyDescent="0.35">
      <c r="A1120" t="s">
        <v>9</v>
      </c>
      <c r="B1120" t="s">
        <v>3430</v>
      </c>
      <c r="C1120" t="str">
        <f t="shared" si="17"/>
        <v>Consultation - PhonePrepare for implementation and deployment of O365</v>
      </c>
    </row>
    <row r="1121" spans="1:3" x14ac:dyDescent="0.35">
      <c r="A1121" t="s">
        <v>9</v>
      </c>
      <c r="B1121" t="s">
        <v>3440</v>
      </c>
      <c r="C1121" t="str">
        <f t="shared" si="17"/>
        <v>Consultation - PhonePeer network with another client for sharing the best practices in adoption of cloud office tools and integration with current systems</v>
      </c>
    </row>
    <row r="1122" spans="1:3" x14ac:dyDescent="0.35">
      <c r="A1122" t="s">
        <v>9</v>
      </c>
      <c r="B1122" t="s">
        <v>3159</v>
      </c>
      <c r="C1122" t="str">
        <f t="shared" si="17"/>
        <v>Consultation - PhoneReview the entire engagement and address future state and other critical priorities</v>
      </c>
    </row>
    <row r="1123" spans="1:3" x14ac:dyDescent="0.35">
      <c r="A1123" t="s">
        <v>9</v>
      </c>
      <c r="B1123" t="s">
        <v>3447</v>
      </c>
      <c r="C1123" t="str">
        <f t="shared" si="17"/>
        <v>Consultation - PhoneDiscuss with LP process optimization and future scope</v>
      </c>
    </row>
    <row r="1124" spans="1:3" x14ac:dyDescent="0.35">
      <c r="A1124" t="s">
        <v>9</v>
      </c>
      <c r="B1124" t="s">
        <v>3457</v>
      </c>
      <c r="C1124" t="str">
        <f t="shared" si="17"/>
        <v xml:space="preserve">Consultation - PhoneLP call to draft an action plan, and agree on engagements steps. Establish cadence, timeframes and critical outcome success factors   </v>
      </c>
    </row>
    <row r="1125" spans="1:3" x14ac:dyDescent="0.35">
      <c r="A1125" t="s">
        <v>9</v>
      </c>
      <c r="B1125" t="s">
        <v>3464</v>
      </c>
      <c r="C1125" t="str">
        <f t="shared" si="17"/>
        <v>Consultation - PhoneLP Call to discuss current state assessment and identify gap and remediation plan</v>
      </c>
    </row>
    <row r="1126" spans="1:3" x14ac:dyDescent="0.35">
      <c r="A1126" t="s">
        <v>9</v>
      </c>
      <c r="B1126" t="s">
        <v>3469</v>
      </c>
      <c r="C1126" t="str">
        <f t="shared" si="17"/>
        <v>Consultation - PhoneOn establishing objectives by instituting metrics and incentives that encourage teamwork toward business goals as opposed to metrics</v>
      </c>
    </row>
    <row r="1127" spans="1:3" x14ac:dyDescent="0.35">
      <c r="A1127" t="s">
        <v>9</v>
      </c>
      <c r="B1127" t="s">
        <v>3470</v>
      </c>
      <c r="C1127" t="str">
        <f t="shared" si="17"/>
        <v>Consultation - PhoneConsultation to discuss current state assessment, identify blockers and suggest next steps</v>
      </c>
    </row>
    <row r="1128" spans="1:3" x14ac:dyDescent="0.35">
      <c r="A1128" t="s">
        <v>9</v>
      </c>
      <c r="B1128" t="s">
        <v>3470</v>
      </c>
      <c r="C1128" t="str">
        <f t="shared" si="17"/>
        <v>Consultation - PhoneConsultation to discuss current state assessment, identify blockers and suggest next steps</v>
      </c>
    </row>
    <row r="1129" spans="1:3" x14ac:dyDescent="0.35">
      <c r="A1129" t="s">
        <v>9</v>
      </c>
      <c r="B1129" t="s">
        <v>3483</v>
      </c>
      <c r="C1129" t="str">
        <f t="shared" si="17"/>
        <v>Consultation - PhoneMonthly consultation with the Leadership Partner to discuss blockers</v>
      </c>
    </row>
    <row r="1130" spans="1:3" x14ac:dyDescent="0.35">
      <c r="A1130" t="s">
        <v>9</v>
      </c>
      <c r="B1130" t="s">
        <v>3159</v>
      </c>
      <c r="C1130" t="str">
        <f t="shared" si="17"/>
        <v>Consultation - PhoneReview the entire engagement and address future state and other critical priorities</v>
      </c>
    </row>
    <row r="1131" spans="1:3" x14ac:dyDescent="0.35">
      <c r="A1131" t="s">
        <v>9</v>
      </c>
      <c r="B1131" t="s">
        <v>3457</v>
      </c>
      <c r="C1131" t="str">
        <f t="shared" si="17"/>
        <v xml:space="preserve">Consultation - PhoneLP call to draft an action plan, and agree on engagements steps. Establish cadence, timeframes and critical outcome success factors   </v>
      </c>
    </row>
    <row r="1132" spans="1:3" x14ac:dyDescent="0.35">
      <c r="A1132" t="s">
        <v>9</v>
      </c>
      <c r="B1132" t="s">
        <v>3464</v>
      </c>
      <c r="C1132" t="str">
        <f t="shared" si="17"/>
        <v>Consultation - PhoneLP Call to discuss current state assessment and identify gap and remediation plan</v>
      </c>
    </row>
    <row r="1133" spans="1:3" x14ac:dyDescent="0.35">
      <c r="A1133" t="s">
        <v>9</v>
      </c>
      <c r="B1133" t="s">
        <v>3501</v>
      </c>
      <c r="C1133" t="str">
        <f t="shared" si="17"/>
        <v>Consultation - PhoneBefore embarking on a simplification or retirement process, I&amp;O leaders need to know exactly what they have. Consult with the LP to know more on this</v>
      </c>
    </row>
    <row r="1134" spans="1:3" x14ac:dyDescent="0.35">
      <c r="A1134" t="s">
        <v>9</v>
      </c>
      <c r="B1134" t="s">
        <v>3504</v>
      </c>
      <c r="C1134" t="str">
        <f t="shared" si="17"/>
        <v>Consultation - PhoneDiscuss with LP infrastructure delivery, from on-premises, data-center-based IT, to hybrid IT including colocation and cloud computing</v>
      </c>
    </row>
    <row r="1135" spans="1:3" x14ac:dyDescent="0.35">
      <c r="A1135" t="s">
        <v>9</v>
      </c>
      <c r="B1135" t="s">
        <v>3512</v>
      </c>
      <c r="C1135" t="str">
        <f t="shared" si="17"/>
        <v>Consultation - PhoneConsultation to quantify the impact on improving availability, lowering operations costs &amp; increasing application performance</v>
      </c>
    </row>
    <row r="1136" spans="1:3" x14ac:dyDescent="0.35">
      <c r="A1136" t="s">
        <v>9</v>
      </c>
      <c r="B1136" t="s">
        <v>3515</v>
      </c>
      <c r="C1136" t="str">
        <f t="shared" si="17"/>
        <v>Consultation - PhoneDiscuss how to both benefit from and mitigate risks for these unproven, fast-evolving market changes</v>
      </c>
    </row>
    <row r="1137" spans="1:5" x14ac:dyDescent="0.35">
      <c r="A1137" t="s">
        <v>9</v>
      </c>
      <c r="B1137" t="s">
        <v>3368</v>
      </c>
      <c r="C1137" t="str">
        <f t="shared" si="17"/>
        <v xml:space="preserve">Consultation - PhoneLP Kickoff call to draft an action plan, and agree on engagements steps. Establish cadence, timeframes and critical outcome success factors </v>
      </c>
    </row>
    <row r="1138" spans="1:5" x14ac:dyDescent="0.35">
      <c r="A1138" t="s">
        <v>9</v>
      </c>
      <c r="B1138" t="s">
        <v>3532</v>
      </c>
      <c r="C1138" t="str">
        <f t="shared" si="17"/>
        <v>Consultation - PhoneTo solve legacy app challenges, while infusing modern agile practices, design methodologies, disruptive technologies and a continuous quality mindset</v>
      </c>
    </row>
    <row r="1139" spans="1:5" x14ac:dyDescent="0.35">
      <c r="A1139" t="s">
        <v>9</v>
      </c>
      <c r="B1139" t="s">
        <v>3549</v>
      </c>
      <c r="C1139" t="str">
        <f t="shared" si="17"/>
        <v>Consultation - PhoneLP call to track progress and ensure successfully delivering against milestones</v>
      </c>
    </row>
    <row r="1140" spans="1:5" x14ac:dyDescent="0.35">
      <c r="A1140" t="s">
        <v>9</v>
      </c>
      <c r="B1140" t="s">
        <v>3405</v>
      </c>
      <c r="C1140" t="str">
        <f t="shared" si="17"/>
        <v>Consultation - PhoneLP call to discuss on process optimization and future scope</v>
      </c>
    </row>
    <row r="1141" spans="1:5" x14ac:dyDescent="0.35">
      <c r="A1141" t="s">
        <v>9</v>
      </c>
      <c r="B1141" t="s">
        <v>3159</v>
      </c>
      <c r="C1141" t="str">
        <f t="shared" si="17"/>
        <v>Consultation - PhoneReview the entire engagement and address future state and other critical priorities</v>
      </c>
    </row>
    <row r="1142" spans="1:5" x14ac:dyDescent="0.35">
      <c r="A1142" t="s">
        <v>9</v>
      </c>
      <c r="B1142" t="s">
        <v>3253</v>
      </c>
      <c r="C1142" t="str">
        <f t="shared" si="17"/>
        <v>Consultation - PhoneLP call to draft an action plan, and agree on engagements steps. Establish cadence, timeframes and critical outcome success factors</v>
      </c>
    </row>
    <row r="1143" spans="1:5" x14ac:dyDescent="0.35">
      <c r="A1143" t="s">
        <v>9</v>
      </c>
      <c r="B1143" t="s">
        <v>3569</v>
      </c>
      <c r="C1143" t="str">
        <f t="shared" si="17"/>
        <v>Consultation - PhoneReview output of planning meeting and initial summary of  strategy, environment and technology information gathered from key stakeholders</v>
      </c>
    </row>
    <row r="1144" spans="1:5" x14ac:dyDescent="0.35">
      <c r="A1144" t="s">
        <v>9</v>
      </c>
      <c r="B1144" t="s">
        <v>3571</v>
      </c>
      <c r="C1144" t="str">
        <f t="shared" si="17"/>
        <v xml:space="preserve">Consultation - PhoneDevelop RACI chart. Validate RACI chart internally </v>
      </c>
    </row>
    <row r="1145" spans="1:5" x14ac:dyDescent="0.35">
      <c r="A1145" t="s">
        <v>9</v>
      </c>
      <c r="B1145" t="s">
        <v>3579</v>
      </c>
      <c r="C1145" t="str">
        <f t="shared" si="17"/>
        <v>Consultation - PhonePrepare for thorough assessment of organization’s cloud security program and capabilities including approach, frameworks and potential partners.</v>
      </c>
    </row>
    <row r="1146" spans="1:5" x14ac:dyDescent="0.35">
      <c r="A1146" t="s">
        <v>9</v>
      </c>
      <c r="B1146" t="s">
        <v>3581</v>
      </c>
      <c r="C1146" t="str">
        <f t="shared" si="17"/>
        <v>Consultation - PhoneReview standard frameworks and methodologies for analyzing, tracking and reporting risks as part of a cloud security strategy policy</v>
      </c>
    </row>
    <row r="1147" spans="1:5" x14ac:dyDescent="0.35">
      <c r="A1147" t="s">
        <v>9</v>
      </c>
      <c r="B1147" t="s">
        <v>3594</v>
      </c>
      <c r="C1147" t="str">
        <f t="shared" si="17"/>
        <v>Consultation - PhoneReview  stakeholder feedback on draft strategy and discuss revisions to strategy document</v>
      </c>
    </row>
    <row r="1148" spans="1:5" x14ac:dyDescent="0.35">
      <c r="A1148" t="s">
        <v>9</v>
      </c>
      <c r="B1148" t="s">
        <v>3600</v>
      </c>
      <c r="C1148" t="str">
        <f t="shared" si="17"/>
        <v>Consultation - PhoneReview final draft of Risk Management Framework strategy and provide final comments and advice</v>
      </c>
    </row>
    <row r="1149" spans="1:5" x14ac:dyDescent="0.35">
      <c r="A1149" t="s">
        <v>9</v>
      </c>
      <c r="B1149" t="s">
        <v>3603</v>
      </c>
      <c r="C1149" t="str">
        <f t="shared" si="17"/>
        <v xml:space="preserve">Consultation - PhoneReview progress. Discuss initial strategy efforts, making strategy actionable, and ongoing Gartner support. </v>
      </c>
    </row>
    <row r="1150" spans="1:5" x14ac:dyDescent="0.35">
      <c r="A1150" t="s">
        <v>9</v>
      </c>
      <c r="B1150" t="s">
        <v>3492</v>
      </c>
      <c r="C1150" t="str">
        <f t="shared" si="17"/>
        <v xml:space="preserve">Consultation - PhoneLP call to draft an action plan, and agree on engagements steps. Establish cadence, timeframes and critical outcome success factors </v>
      </c>
    </row>
    <row r="1151" spans="1:5" x14ac:dyDescent="0.35">
      <c r="A1151" t="s">
        <v>9</v>
      </c>
      <c r="B1151" t="s">
        <v>3611</v>
      </c>
      <c r="C1151" t="str">
        <f t="shared" si="17"/>
        <v>Consultation - PhoneConsult with LP or bimodal strategy and DevOps implementation, engage with LP and leverage</v>
      </c>
      <c r="D1151" t="s">
        <v>3472</v>
      </c>
      <c r="E1151" t="s">
        <v>3473</v>
      </c>
    </row>
    <row r="1152" spans="1:5" x14ac:dyDescent="0.35">
      <c r="A1152" t="s">
        <v>9</v>
      </c>
      <c r="B1152" t="s">
        <v>3631</v>
      </c>
      <c r="C1152" t="str">
        <f t="shared" si="17"/>
        <v>Consultation - PhoneEngage with LP and discuss strategy and pain points while DevOps implementation</v>
      </c>
    </row>
    <row r="1153" spans="1:5" x14ac:dyDescent="0.35">
      <c r="A1153" t="s">
        <v>9</v>
      </c>
      <c r="B1153" t="s">
        <v>3639</v>
      </c>
      <c r="C1153" t="str">
        <f t="shared" si="17"/>
        <v>Consultation - PhoneTrack DevOps teams' progress toward business goals, identify areas for improvement and promote collaborative culture with LP, and leverage:</v>
      </c>
      <c r="D1153" t="s">
        <v>1534</v>
      </c>
      <c r="E1153" t="s">
        <v>3640</v>
      </c>
    </row>
    <row r="1154" spans="1:5" x14ac:dyDescent="0.35">
      <c r="A1154" t="s">
        <v>9</v>
      </c>
      <c r="B1154" t="s">
        <v>3159</v>
      </c>
      <c r="C1154" t="str">
        <f t="shared" si="17"/>
        <v>Consultation - PhoneReview the entire engagement and address future state and other critical priorities</v>
      </c>
    </row>
    <row r="1155" spans="1:5" x14ac:dyDescent="0.35">
      <c r="A1155" t="s">
        <v>9</v>
      </c>
      <c r="B1155" t="s">
        <v>3647</v>
      </c>
      <c r="C1155" t="str">
        <f t="shared" ref="C1155:C1218" si="18">CONCATENATE(A1155,B1155)</f>
        <v>Consultation - PhoneReview current program, gaps and challenges.  Determine action plan including timeline, milestones and deliverables.</v>
      </c>
    </row>
    <row r="1156" spans="1:5" x14ac:dyDescent="0.35">
      <c r="A1156" t="s">
        <v>9</v>
      </c>
      <c r="B1156" t="s">
        <v>3659</v>
      </c>
      <c r="C1156" t="str">
        <f t="shared" si="18"/>
        <v>Consultation - PhoneDiscuss progress on executive buy-in and refining program objectives and plan based on feedback.</v>
      </c>
    </row>
    <row r="1157" spans="1:5" x14ac:dyDescent="0.35">
      <c r="A1157" t="s">
        <v>9</v>
      </c>
      <c r="B1157" t="s">
        <v>3664</v>
      </c>
      <c r="C1157" t="str">
        <f t="shared" si="18"/>
        <v>Consultation - PhoneDiscuss methods, tools and capabilities needed for program including existing Learning Management Systems, organizational requirements and potential</v>
      </c>
    </row>
    <row r="1158" spans="1:5" x14ac:dyDescent="0.35">
      <c r="A1158" t="s">
        <v>9</v>
      </c>
      <c r="B1158" t="s">
        <v>3678</v>
      </c>
      <c r="C1158" t="str">
        <f t="shared" si="18"/>
        <v>Consultation - PhoneDiscuss implementation plan for Security Awareness program and training tools including confirming executive buy-in, addressing potential challenges.</v>
      </c>
    </row>
    <row r="1159" spans="1:5" x14ac:dyDescent="0.35">
      <c r="A1159" t="s">
        <v>9</v>
      </c>
      <c r="B1159" t="s">
        <v>3681</v>
      </c>
      <c r="C1159" t="str">
        <f t="shared" si="18"/>
        <v>Consultation - PhoneReview draft communication plan for Security Awareness program and provide feedback.</v>
      </c>
    </row>
    <row r="1160" spans="1:5" x14ac:dyDescent="0.35">
      <c r="A1160" t="s">
        <v>9</v>
      </c>
      <c r="B1160" t="s">
        <v>3681</v>
      </c>
      <c r="C1160" t="str">
        <f t="shared" si="18"/>
        <v>Consultation - PhoneReview draft communication plan for Security Awareness program and provide feedback.</v>
      </c>
    </row>
    <row r="1161" spans="1:5" x14ac:dyDescent="0.35">
      <c r="A1161" t="s">
        <v>9</v>
      </c>
      <c r="B1161" t="s">
        <v>3693</v>
      </c>
      <c r="C1161" t="str">
        <f t="shared" si="18"/>
        <v xml:space="preserve">Consultation - PhoneReview status of program, metrics and  challenges. Discuss next steps and opportunities to improve including specific education targeted at high risk </v>
      </c>
    </row>
    <row r="1162" spans="1:5" x14ac:dyDescent="0.35">
      <c r="A1162" t="s">
        <v>9</v>
      </c>
      <c r="B1162" t="s">
        <v>3701</v>
      </c>
      <c r="C1162" t="str">
        <f t="shared" si="18"/>
        <v>Consultation - PhonePlan to gather user feedback including surveying segment of users on what works best, what helped them in their personal home life to be more secure</v>
      </c>
    </row>
    <row r="1163" spans="1:5" x14ac:dyDescent="0.35">
      <c r="A1163" t="s">
        <v>9</v>
      </c>
      <c r="B1163" t="s">
        <v>3253</v>
      </c>
      <c r="C1163" t="str">
        <f t="shared" si="18"/>
        <v>Consultation - PhoneLP call to draft an action plan, and agree on engagements steps. Establish cadence, timeframes and critical outcome success factors</v>
      </c>
    </row>
    <row r="1164" spans="1:5" x14ac:dyDescent="0.35">
      <c r="A1164" t="s">
        <v>9</v>
      </c>
      <c r="B1164" t="s">
        <v>3464</v>
      </c>
      <c r="C1164" t="str">
        <f t="shared" si="18"/>
        <v>Consultation - PhoneLP Call to discuss current state assessment and identify gap and remediation plan</v>
      </c>
    </row>
    <row r="1165" spans="1:5" x14ac:dyDescent="0.35">
      <c r="A1165" t="s">
        <v>9</v>
      </c>
      <c r="B1165" t="s">
        <v>3724</v>
      </c>
      <c r="C1165" t="str">
        <f t="shared" si="18"/>
        <v xml:space="preserve">Consultation - PhoneMonthly call with Leadership Partner to discuss progress and position in the roadmap </v>
      </c>
    </row>
    <row r="1166" spans="1:5" x14ac:dyDescent="0.35">
      <c r="A1166" t="s">
        <v>9</v>
      </c>
      <c r="B1166" t="s">
        <v>3736</v>
      </c>
      <c r="C1166" t="str">
        <f t="shared" si="18"/>
        <v>Consultation - PhoneMonthly LP call to discuss and plan for next steps</v>
      </c>
    </row>
    <row r="1167" spans="1:5" x14ac:dyDescent="0.35">
      <c r="A1167" t="s">
        <v>9</v>
      </c>
      <c r="B1167" t="s">
        <v>3740</v>
      </c>
      <c r="C1167" t="str">
        <f t="shared" si="18"/>
        <v>Consultation - PhoneLP Consultation to discuss process optimization and future scope</v>
      </c>
    </row>
    <row r="1168" spans="1:5" x14ac:dyDescent="0.35">
      <c r="A1168" t="s">
        <v>9</v>
      </c>
      <c r="B1168" t="s">
        <v>3253</v>
      </c>
      <c r="C1168" t="str">
        <f t="shared" si="18"/>
        <v>Consultation - PhoneLP call to draft an action plan, and agree on engagements steps. Establish cadence, timeframes and critical outcome success factors</v>
      </c>
    </row>
    <row r="1169" spans="1:5" x14ac:dyDescent="0.35">
      <c r="A1169" t="s">
        <v>9</v>
      </c>
      <c r="B1169" t="s">
        <v>3755</v>
      </c>
      <c r="C1169" t="str">
        <f t="shared" si="18"/>
        <v>Consultation - PhoneReview output of planning meeting and initial summary of business strategy, environment and technology information gathered from key stakeholders</v>
      </c>
    </row>
    <row r="1170" spans="1:5" x14ac:dyDescent="0.35">
      <c r="A1170" t="s">
        <v>9</v>
      </c>
      <c r="B1170" t="s">
        <v>3756</v>
      </c>
      <c r="C1170" t="str">
        <f t="shared" si="18"/>
        <v>Consultation - PhonePrepare for thorough assessment of organization’s PAM program and capabilities including approach, frameworks and potential partners</v>
      </c>
    </row>
    <row r="1171" spans="1:5" x14ac:dyDescent="0.35">
      <c r="A1171" t="s">
        <v>9</v>
      </c>
      <c r="B1171" t="s">
        <v>3763</v>
      </c>
      <c r="C1171" t="str">
        <f t="shared" si="18"/>
        <v>Consultation - PhoneUnderstand pain points of Privileged Access Management program and devise solutions with LP</v>
      </c>
    </row>
    <row r="1172" spans="1:5" x14ac:dyDescent="0.35">
      <c r="A1172" t="s">
        <v>9</v>
      </c>
      <c r="B1172" t="s">
        <v>3780</v>
      </c>
      <c r="C1172" t="str">
        <f t="shared" si="18"/>
        <v>Consultation - PhoneReview communications core and plan with LP to confirm approach and discuss ongoing effective communications</v>
      </c>
    </row>
    <row r="1173" spans="1:5" x14ac:dyDescent="0.35">
      <c r="A1173" t="s">
        <v>9</v>
      </c>
      <c r="B1173" t="s">
        <v>3602</v>
      </c>
      <c r="C1173" t="str">
        <f t="shared" si="18"/>
        <v>Consultation - PhoneIdentify metrics that indicate program effectiveness</v>
      </c>
    </row>
    <row r="1174" spans="1:5" x14ac:dyDescent="0.35">
      <c r="A1174" t="s">
        <v>9</v>
      </c>
      <c r="B1174" t="s">
        <v>3159</v>
      </c>
      <c r="C1174" t="str">
        <f t="shared" si="18"/>
        <v>Consultation - PhoneReview the entire engagement and address future state and other critical priorities</v>
      </c>
    </row>
    <row r="1175" spans="1:5" x14ac:dyDescent="0.35">
      <c r="A1175" t="s">
        <v>9</v>
      </c>
      <c r="B1175" t="s">
        <v>3253</v>
      </c>
      <c r="C1175" t="str">
        <f t="shared" si="18"/>
        <v>Consultation - PhoneLP call to draft an action plan, and agree on engagements steps. Establish cadence, timeframes and critical outcome success factors</v>
      </c>
    </row>
    <row r="1176" spans="1:5" x14ac:dyDescent="0.35">
      <c r="A1176" t="s">
        <v>9</v>
      </c>
      <c r="B1176" t="s">
        <v>3793</v>
      </c>
      <c r="C1176" t="str">
        <f t="shared" si="18"/>
        <v>Consultation - PhoneLP call to discuss current state assessment and build a remediation plan</v>
      </c>
    </row>
    <row r="1177" spans="1:5" x14ac:dyDescent="0.35">
      <c r="A1177" t="s">
        <v>9</v>
      </c>
      <c r="B1177" t="s">
        <v>3800</v>
      </c>
      <c r="C1177" t="str">
        <f t="shared" si="18"/>
        <v>Consultation - PhoneConsultation on deriving successful outcomes from below Research</v>
      </c>
      <c r="D1177" t="s">
        <v>3801</v>
      </c>
      <c r="E1177" t="s">
        <v>3802</v>
      </c>
    </row>
    <row r="1178" spans="1:5" x14ac:dyDescent="0.35">
      <c r="A1178" t="s">
        <v>9</v>
      </c>
      <c r="B1178" t="s">
        <v>3736</v>
      </c>
      <c r="C1178" t="str">
        <f t="shared" si="18"/>
        <v>Consultation - PhoneMonthly LP call to discuss and plan for next steps</v>
      </c>
    </row>
    <row r="1179" spans="1:5" x14ac:dyDescent="0.35">
      <c r="A1179" t="s">
        <v>9</v>
      </c>
      <c r="B1179" t="s">
        <v>3736</v>
      </c>
      <c r="C1179" t="str">
        <f t="shared" si="18"/>
        <v>Consultation - PhoneMonthly LP call to discuss and plan for next steps</v>
      </c>
    </row>
    <row r="1180" spans="1:5" x14ac:dyDescent="0.35">
      <c r="A1180" t="s">
        <v>9</v>
      </c>
      <c r="B1180" t="s">
        <v>3818</v>
      </c>
      <c r="C1180" t="str">
        <f t="shared" si="18"/>
        <v xml:space="preserve">Consultation - PhoneMonthly call with your Leadership Partner </v>
      </c>
    </row>
    <row r="1181" spans="1:5" x14ac:dyDescent="0.35">
      <c r="A1181" t="s">
        <v>9</v>
      </c>
      <c r="B1181" t="s">
        <v>3826</v>
      </c>
      <c r="C1181" t="str">
        <f t="shared" si="18"/>
        <v>Consultation - PhoneReview current state of the Enterprise Architecture capability and assess for potential gaps and challenges.  Discuss desired future state.</v>
      </c>
    </row>
    <row r="1182" spans="1:5" x14ac:dyDescent="0.35">
      <c r="A1182" t="s">
        <v>9</v>
      </c>
      <c r="B1182" t="s">
        <v>3829</v>
      </c>
      <c r="C1182" t="str">
        <f t="shared" si="18"/>
        <v>Consultation - PhoneWork to address initial EA gaps such as a clearly articulated EA Charter, Guiding Principles, Organizational Structure, etc.</v>
      </c>
    </row>
    <row r="1183" spans="1:5" x14ac:dyDescent="0.35">
      <c r="A1183" t="s">
        <v>9</v>
      </c>
      <c r="B1183" t="s">
        <v>3492</v>
      </c>
      <c r="C1183" t="str">
        <f t="shared" si="18"/>
        <v xml:space="preserve">Consultation - PhoneLP call to draft an action plan, and agree on engagements steps. Establish cadence, timeframes and critical outcome success factors </v>
      </c>
    </row>
    <row r="1184" spans="1:5" x14ac:dyDescent="0.35">
      <c r="A1184" t="s">
        <v>9</v>
      </c>
      <c r="B1184" t="s">
        <v>3843</v>
      </c>
      <c r="C1184" t="str">
        <f t="shared" si="18"/>
        <v>Consultation - PhoneLP call to discuss current state assessment and identify gap and remediation plan</v>
      </c>
    </row>
    <row r="1185" spans="1:5" x14ac:dyDescent="0.35">
      <c r="A1185" t="s">
        <v>9</v>
      </c>
      <c r="B1185" t="s">
        <v>3856</v>
      </c>
      <c r="C1185" t="str">
        <f t="shared" si="18"/>
        <v xml:space="preserve">Consultation - PhoneDiscuss MDM strategy with LP by proposing the created plan   </v>
      </c>
    </row>
    <row r="1186" spans="1:5" x14ac:dyDescent="0.35">
      <c r="A1186" t="s">
        <v>9</v>
      </c>
      <c r="B1186" t="s">
        <v>3868</v>
      </c>
      <c r="C1186" t="str">
        <f t="shared" si="18"/>
        <v xml:space="preserve">Consultation - PhoneDiscuss the progress with LP, identify roadblocks and next steps </v>
      </c>
    </row>
    <row r="1187" spans="1:5" x14ac:dyDescent="0.35">
      <c r="A1187" t="s">
        <v>9</v>
      </c>
      <c r="B1187" t="s">
        <v>3876</v>
      </c>
      <c r="C1187" t="str">
        <f t="shared" si="18"/>
        <v>Consultation - PhoneTo understand meta-identity approach using MDM principles in architecture and design to manage complex identity issues in IOT systems</v>
      </c>
      <c r="D1187" t="s">
        <v>3877</v>
      </c>
      <c r="E1187" t="s">
        <v>3878</v>
      </c>
    </row>
    <row r="1188" spans="1:5" x14ac:dyDescent="0.35">
      <c r="A1188" t="s">
        <v>9</v>
      </c>
      <c r="B1188" t="s">
        <v>3159</v>
      </c>
      <c r="C1188" t="str">
        <f t="shared" si="18"/>
        <v>Consultation - PhoneReview the entire engagement and address future state and other critical priorities</v>
      </c>
    </row>
    <row r="1189" spans="1:5" x14ac:dyDescent="0.35">
      <c r="A1189" t="s">
        <v>9</v>
      </c>
      <c r="B1189" t="s">
        <v>3492</v>
      </c>
      <c r="C1189" t="str">
        <f t="shared" si="18"/>
        <v xml:space="preserve">Consultation - PhoneLP call to draft an action plan, and agree on engagements steps. Establish cadence, timeframes and critical outcome success factors </v>
      </c>
    </row>
    <row r="1190" spans="1:5" x14ac:dyDescent="0.35">
      <c r="A1190" t="s">
        <v>9</v>
      </c>
      <c r="B1190" t="s">
        <v>3492</v>
      </c>
      <c r="C1190" t="str">
        <f t="shared" si="18"/>
        <v xml:space="preserve">Consultation - PhoneLP call to draft an action plan, and agree on engagements steps. Establish cadence, timeframes and critical outcome success factors </v>
      </c>
    </row>
    <row r="1191" spans="1:5" x14ac:dyDescent="0.35">
      <c r="A1191" t="s">
        <v>9</v>
      </c>
      <c r="B1191" t="s">
        <v>3843</v>
      </c>
      <c r="C1191" t="str">
        <f t="shared" si="18"/>
        <v>Consultation - PhoneLP call to discuss current state assessment and identify gap and remediation plan</v>
      </c>
    </row>
    <row r="1192" spans="1:5" x14ac:dyDescent="0.35">
      <c r="A1192" t="s">
        <v>9</v>
      </c>
      <c r="B1192" t="s">
        <v>3899</v>
      </c>
      <c r="C1192" t="str">
        <f t="shared" si="18"/>
        <v xml:space="preserve">Consultation - PhoneDiscuss postmodern ERP strategy with LP by proposing the created plan   </v>
      </c>
    </row>
    <row r="1193" spans="1:5" x14ac:dyDescent="0.35">
      <c r="A1193" t="s">
        <v>9</v>
      </c>
      <c r="B1193" t="s">
        <v>3910</v>
      </c>
      <c r="C1193" t="str">
        <f t="shared" si="18"/>
        <v>Consultation - PhoneDiscuss the progress with LP, identify roadblocks and next steps</v>
      </c>
    </row>
    <row r="1194" spans="1:5" x14ac:dyDescent="0.35">
      <c r="A1194" t="s">
        <v>9</v>
      </c>
      <c r="B1194" t="s">
        <v>3159</v>
      </c>
      <c r="C1194" t="str">
        <f t="shared" si="18"/>
        <v>Consultation - PhoneReview the entire engagement and address future state and other critical priorities</v>
      </c>
    </row>
    <row r="1195" spans="1:5" x14ac:dyDescent="0.35">
      <c r="A1195" t="s">
        <v>9</v>
      </c>
      <c r="B1195" t="s">
        <v>3368</v>
      </c>
      <c r="C1195" t="str">
        <f t="shared" si="18"/>
        <v xml:space="preserve">Consultation - PhoneLP Kickoff call to draft an action plan, and agree on engagements steps. Establish cadence, timeframes and critical outcome success factors </v>
      </c>
    </row>
    <row r="1196" spans="1:5" x14ac:dyDescent="0.35">
      <c r="A1196" t="s">
        <v>9</v>
      </c>
      <c r="B1196" t="s">
        <v>3843</v>
      </c>
      <c r="C1196" t="str">
        <f t="shared" si="18"/>
        <v>Consultation - PhoneLP call to discuss current state assessment and identify gap and remediation plan</v>
      </c>
    </row>
    <row r="1197" spans="1:5" x14ac:dyDescent="0.35">
      <c r="A1197" t="s">
        <v>9</v>
      </c>
      <c r="B1197" t="s">
        <v>3942</v>
      </c>
      <c r="C1197" t="str">
        <f t="shared" si="18"/>
        <v xml:space="preserve">Consultation - PhoneConsult on Emerging trends within EA and propose EA role definitions </v>
      </c>
    </row>
    <row r="1198" spans="1:5" x14ac:dyDescent="0.35">
      <c r="A1198" t="s">
        <v>9</v>
      </c>
      <c r="B1198" t="s">
        <v>3868</v>
      </c>
      <c r="C1198" t="str">
        <f t="shared" si="18"/>
        <v xml:space="preserve">Consultation - PhoneDiscuss the progress with LP, identify roadblocks and next steps </v>
      </c>
    </row>
    <row r="1199" spans="1:5" x14ac:dyDescent="0.35">
      <c r="A1199" t="s">
        <v>9</v>
      </c>
      <c r="B1199" t="s">
        <v>3159</v>
      </c>
      <c r="C1199" t="str">
        <f t="shared" si="18"/>
        <v>Consultation - PhoneReview the entire engagement and address future state and other critical priorities</v>
      </c>
    </row>
    <row r="1200" spans="1:5" x14ac:dyDescent="0.35">
      <c r="A1200" t="s">
        <v>9</v>
      </c>
      <c r="B1200" t="s">
        <v>3492</v>
      </c>
      <c r="C1200" t="str">
        <f t="shared" si="18"/>
        <v xml:space="preserve">Consultation - PhoneLP call to draft an action plan, and agree on engagements steps. Establish cadence, timeframes and critical outcome success factors </v>
      </c>
    </row>
    <row r="1201" spans="1:3" x14ac:dyDescent="0.35">
      <c r="A1201" t="s">
        <v>9</v>
      </c>
      <c r="B1201" t="s">
        <v>3843</v>
      </c>
      <c r="C1201" t="str">
        <f t="shared" si="18"/>
        <v>Consultation - PhoneLP call to discuss current state assessment and identify gap and remediation plan</v>
      </c>
    </row>
    <row r="1202" spans="1:3" x14ac:dyDescent="0.35">
      <c r="A1202" t="s">
        <v>9</v>
      </c>
      <c r="B1202" t="s">
        <v>3979</v>
      </c>
      <c r="C1202" t="str">
        <f t="shared" si="18"/>
        <v xml:space="preserve">Consultation - PhoneDiscuss cloud migration strategy with LP by proposing the created plan   </v>
      </c>
    </row>
    <row r="1203" spans="1:3" x14ac:dyDescent="0.35">
      <c r="A1203" t="s">
        <v>9</v>
      </c>
      <c r="B1203" t="s">
        <v>3868</v>
      </c>
      <c r="C1203" t="str">
        <f t="shared" si="18"/>
        <v xml:space="preserve">Consultation - PhoneDiscuss the progress with LP, identify roadblocks and next steps </v>
      </c>
    </row>
    <row r="1204" spans="1:3" x14ac:dyDescent="0.35">
      <c r="A1204" t="s">
        <v>9</v>
      </c>
      <c r="B1204" t="s">
        <v>3159</v>
      </c>
      <c r="C1204" t="str">
        <f t="shared" si="18"/>
        <v>Consultation - PhoneReview the entire engagement and address future state and other critical priorities</v>
      </c>
    </row>
    <row r="1205" spans="1:3" x14ac:dyDescent="0.35">
      <c r="A1205" t="s">
        <v>9</v>
      </c>
      <c r="B1205" t="s">
        <v>3253</v>
      </c>
      <c r="C1205" t="str">
        <f t="shared" si="18"/>
        <v>Consultation - PhoneLP call to draft an action plan, and agree on engagements steps. Establish cadence, timeframes and critical outcome success factors</v>
      </c>
    </row>
    <row r="1206" spans="1:3" x14ac:dyDescent="0.35">
      <c r="A1206" t="s">
        <v>9</v>
      </c>
      <c r="B1206" t="s">
        <v>4011</v>
      </c>
      <c r="C1206" t="str">
        <f t="shared" si="18"/>
        <v>Consultation - PhoneLP call to discuss current state assessment and discuss remediation plan</v>
      </c>
    </row>
    <row r="1207" spans="1:3" x14ac:dyDescent="0.35">
      <c r="A1207" t="s">
        <v>9</v>
      </c>
      <c r="B1207" t="s">
        <v>4022</v>
      </c>
      <c r="C1207" t="str">
        <f t="shared" si="18"/>
        <v>Consultation - PhoneMonthly consultation with LP to discuss the roadmap and progress</v>
      </c>
    </row>
    <row r="1208" spans="1:3" x14ac:dyDescent="0.35">
      <c r="A1208" t="s">
        <v>9</v>
      </c>
      <c r="B1208" t="s">
        <v>4030</v>
      </c>
      <c r="C1208" t="str">
        <f t="shared" si="18"/>
        <v>Consultation - PhoneConsultation on combining different data delivery styles to incorporate a "portfolio based" approach into the data integration strategy</v>
      </c>
    </row>
    <row r="1209" spans="1:3" x14ac:dyDescent="0.35">
      <c r="A1209" t="s">
        <v>9</v>
      </c>
      <c r="B1209" t="s">
        <v>3153</v>
      </c>
      <c r="C1209" t="str">
        <f t="shared" si="18"/>
        <v>Consultation - PhoneLP call to discuss process optimization and future scope</v>
      </c>
    </row>
    <row r="1210" spans="1:3" x14ac:dyDescent="0.35">
      <c r="A1210" t="s">
        <v>9</v>
      </c>
      <c r="B1210" t="s">
        <v>4042</v>
      </c>
      <c r="C1210" t="str">
        <f t="shared" si="18"/>
        <v xml:space="preserve">Consultation - PhoneLP call to draft an action plan, and agree on engagements steps. Establish cadence, timeframes and critical outcome success factors    </v>
      </c>
    </row>
    <row r="1211" spans="1:3" x14ac:dyDescent="0.35">
      <c r="A1211" t="s">
        <v>9</v>
      </c>
      <c r="B1211" t="s">
        <v>3843</v>
      </c>
      <c r="C1211" t="str">
        <f t="shared" si="18"/>
        <v>Consultation - PhoneLP call to discuss current state assessment and identify gap and remediation plan</v>
      </c>
    </row>
    <row r="1212" spans="1:3" x14ac:dyDescent="0.35">
      <c r="A1212" t="s">
        <v>9</v>
      </c>
      <c r="B1212" t="s">
        <v>4057</v>
      </c>
      <c r="C1212" t="str">
        <f t="shared" si="18"/>
        <v xml:space="preserve">Consultation - PhoneDiscuss governance strategy with LP by proposing the created plan   </v>
      </c>
    </row>
    <row r="1213" spans="1:3" x14ac:dyDescent="0.35">
      <c r="A1213" t="s">
        <v>9</v>
      </c>
      <c r="B1213" t="s">
        <v>3868</v>
      </c>
      <c r="C1213" t="str">
        <f t="shared" si="18"/>
        <v xml:space="preserve">Consultation - PhoneDiscuss the progress with LP, identify roadblocks and next steps </v>
      </c>
    </row>
    <row r="1214" spans="1:3" x14ac:dyDescent="0.35">
      <c r="A1214" t="s">
        <v>9</v>
      </c>
      <c r="B1214" t="s">
        <v>3159</v>
      </c>
      <c r="C1214" t="str">
        <f t="shared" si="18"/>
        <v>Consultation - PhoneReview the entire engagement and address future state and other critical priorities</v>
      </c>
    </row>
    <row r="1215" spans="1:3" x14ac:dyDescent="0.35">
      <c r="A1215" t="s">
        <v>9</v>
      </c>
      <c r="B1215" t="s">
        <v>3253</v>
      </c>
      <c r="C1215" t="str">
        <f t="shared" si="18"/>
        <v>Consultation - PhoneLP call to draft an action plan, and agree on engagements steps. Establish cadence, timeframes and critical outcome success factors</v>
      </c>
    </row>
    <row r="1216" spans="1:3" x14ac:dyDescent="0.35">
      <c r="A1216" t="s">
        <v>9</v>
      </c>
      <c r="B1216" t="s">
        <v>4011</v>
      </c>
      <c r="C1216" t="str">
        <f t="shared" si="18"/>
        <v>Consultation - PhoneLP call to discuss current state assessment and discuss remediation plan</v>
      </c>
    </row>
    <row r="1217" spans="1:3" x14ac:dyDescent="0.35">
      <c r="A1217" t="s">
        <v>9</v>
      </c>
      <c r="B1217" t="s">
        <v>4091</v>
      </c>
      <c r="C1217" t="str">
        <f t="shared" si="18"/>
        <v>Consultation - PhoneMonthly call with Leadership Partner to discuss progress and discuss next steps</v>
      </c>
    </row>
    <row r="1218" spans="1:3" x14ac:dyDescent="0.35">
      <c r="A1218" t="s">
        <v>9</v>
      </c>
      <c r="B1218" t="s">
        <v>3736</v>
      </c>
      <c r="C1218" t="str">
        <f t="shared" si="18"/>
        <v>Consultation - PhoneMonthly LP call to discuss and plan for next steps</v>
      </c>
    </row>
    <row r="1219" spans="1:3" x14ac:dyDescent="0.35">
      <c r="A1219" t="s">
        <v>9</v>
      </c>
      <c r="B1219" t="s">
        <v>4108</v>
      </c>
      <c r="C1219" t="str">
        <f t="shared" ref="C1219:C1282" si="19">CONCATENATE(A1219,B1219)</f>
        <v>Consultation - PhoneConsultation with Leadership Partner on process improvements and future scope</v>
      </c>
    </row>
    <row r="1220" spans="1:3" x14ac:dyDescent="0.35">
      <c r="A1220" t="s">
        <v>9</v>
      </c>
      <c r="B1220" t="s">
        <v>4110</v>
      </c>
      <c r="C1220" t="str">
        <f t="shared" si="19"/>
        <v xml:space="preserve">Consultation - PhoneConsultation on Data architectures increasingly growing distributed as more data is generated by edge devices </v>
      </c>
    </row>
    <row r="1221" spans="1:3" x14ac:dyDescent="0.35">
      <c r="A1221" t="s">
        <v>9</v>
      </c>
      <c r="B1221" t="s">
        <v>4111</v>
      </c>
      <c r="C1221" t="str">
        <f t="shared" si="19"/>
        <v>Consultation - PhoneSKO Follow up</v>
      </c>
    </row>
    <row r="1222" spans="1:3" x14ac:dyDescent="0.35">
      <c r="A1222" t="s">
        <v>9</v>
      </c>
      <c r="B1222" t="s">
        <v>2882</v>
      </c>
      <c r="C1222" t="str">
        <f t="shared" si="19"/>
        <v>Consultation - PhoneMonthly Consultation</v>
      </c>
    </row>
    <row r="1223" spans="1:3" x14ac:dyDescent="0.35">
      <c r="A1223" t="s">
        <v>9</v>
      </c>
      <c r="B1223" t="s">
        <v>2882</v>
      </c>
      <c r="C1223" t="str">
        <f t="shared" si="19"/>
        <v>Consultation - PhoneMonthly Consultation</v>
      </c>
    </row>
    <row r="1224" spans="1:3" x14ac:dyDescent="0.35">
      <c r="A1224" t="s">
        <v>9</v>
      </c>
      <c r="B1224" t="s">
        <v>2882</v>
      </c>
      <c r="C1224" t="str">
        <f t="shared" si="19"/>
        <v>Consultation - PhoneMonthly Consultation</v>
      </c>
    </row>
    <row r="1225" spans="1:3" x14ac:dyDescent="0.35">
      <c r="A1225" t="s">
        <v>9</v>
      </c>
      <c r="B1225" t="s">
        <v>2882</v>
      </c>
      <c r="C1225" t="str">
        <f t="shared" si="19"/>
        <v>Consultation - PhoneMonthly Consultation</v>
      </c>
    </row>
    <row r="1226" spans="1:3" x14ac:dyDescent="0.35">
      <c r="A1226" t="s">
        <v>9</v>
      </c>
      <c r="B1226" t="s">
        <v>2882</v>
      </c>
      <c r="C1226" t="str">
        <f t="shared" si="19"/>
        <v>Consultation - PhoneMonthly Consultation</v>
      </c>
    </row>
    <row r="1227" spans="1:3" x14ac:dyDescent="0.35">
      <c r="A1227" t="s">
        <v>9</v>
      </c>
      <c r="B1227" t="s">
        <v>2882</v>
      </c>
      <c r="C1227" t="str">
        <f t="shared" si="19"/>
        <v>Consultation - PhoneMonthly Consultation</v>
      </c>
    </row>
    <row r="1228" spans="1:3" x14ac:dyDescent="0.35">
      <c r="A1228" t="s">
        <v>9</v>
      </c>
      <c r="B1228" t="s">
        <v>2882</v>
      </c>
      <c r="C1228" t="str">
        <f t="shared" si="19"/>
        <v>Consultation - PhoneMonthly Consultation</v>
      </c>
    </row>
    <row r="1229" spans="1:3" x14ac:dyDescent="0.35">
      <c r="A1229" t="s">
        <v>9</v>
      </c>
      <c r="B1229" t="s">
        <v>2882</v>
      </c>
      <c r="C1229" t="str">
        <f t="shared" si="19"/>
        <v>Consultation - PhoneMonthly Consultation</v>
      </c>
    </row>
    <row r="1230" spans="1:3" x14ac:dyDescent="0.35">
      <c r="A1230" t="s">
        <v>9</v>
      </c>
      <c r="B1230" t="s">
        <v>2882</v>
      </c>
      <c r="C1230" t="str">
        <f t="shared" si="19"/>
        <v>Consultation - PhoneMonthly Consultation</v>
      </c>
    </row>
    <row r="1231" spans="1:3" x14ac:dyDescent="0.35">
      <c r="A1231" t="s">
        <v>9</v>
      </c>
      <c r="B1231" t="s">
        <v>2882</v>
      </c>
      <c r="C1231" t="str">
        <f t="shared" si="19"/>
        <v>Consultation - PhoneMonthly Consultation</v>
      </c>
    </row>
    <row r="1232" spans="1:3" x14ac:dyDescent="0.35">
      <c r="A1232" t="s">
        <v>9</v>
      </c>
      <c r="B1232" t="s">
        <v>2882</v>
      </c>
      <c r="C1232" t="str">
        <f t="shared" si="19"/>
        <v>Consultation - PhoneMonthly Consultation</v>
      </c>
    </row>
    <row r="1233" spans="1:3" x14ac:dyDescent="0.35">
      <c r="A1233" t="s">
        <v>9</v>
      </c>
      <c r="B1233" t="s">
        <v>2882</v>
      </c>
      <c r="C1233" t="str">
        <f t="shared" si="19"/>
        <v>Consultation - PhoneMonthly Consultation</v>
      </c>
    </row>
    <row r="1234" spans="1:3" x14ac:dyDescent="0.35">
      <c r="A1234" t="s">
        <v>9</v>
      </c>
      <c r="B1234" t="s">
        <v>2882</v>
      </c>
      <c r="C1234" t="str">
        <f t="shared" si="19"/>
        <v>Consultation - PhoneMonthly Consultation</v>
      </c>
    </row>
    <row r="1235" spans="1:3" x14ac:dyDescent="0.35">
      <c r="A1235" t="s">
        <v>9</v>
      </c>
      <c r="B1235" t="s">
        <v>2882</v>
      </c>
      <c r="C1235" t="str">
        <f t="shared" si="19"/>
        <v>Consultation - PhoneMonthly Consultation</v>
      </c>
    </row>
    <row r="1236" spans="1:3" x14ac:dyDescent="0.35">
      <c r="A1236" t="s">
        <v>9</v>
      </c>
      <c r="B1236" t="s">
        <v>2882</v>
      </c>
      <c r="C1236" t="str">
        <f t="shared" si="19"/>
        <v>Consultation - PhoneMonthly Consultation</v>
      </c>
    </row>
    <row r="1237" spans="1:3" x14ac:dyDescent="0.35">
      <c r="A1237" t="s">
        <v>9</v>
      </c>
      <c r="B1237" t="s">
        <v>2882</v>
      </c>
      <c r="C1237" t="str">
        <f t="shared" si="19"/>
        <v>Consultation - PhoneMonthly Consultation</v>
      </c>
    </row>
    <row r="1238" spans="1:3" x14ac:dyDescent="0.35">
      <c r="A1238" t="s">
        <v>9</v>
      </c>
      <c r="B1238" t="s">
        <v>2882</v>
      </c>
      <c r="C1238" t="str">
        <f t="shared" si="19"/>
        <v>Consultation - PhoneMonthly Consultation</v>
      </c>
    </row>
    <row r="1239" spans="1:3" x14ac:dyDescent="0.35">
      <c r="A1239" t="s">
        <v>9</v>
      </c>
      <c r="B1239" t="s">
        <v>2882</v>
      </c>
      <c r="C1239" t="str">
        <f t="shared" si="19"/>
        <v>Consultation - PhoneMonthly Consultation</v>
      </c>
    </row>
    <row r="1240" spans="1:3" x14ac:dyDescent="0.35">
      <c r="A1240" t="s">
        <v>9</v>
      </c>
      <c r="B1240" t="s">
        <v>3492</v>
      </c>
      <c r="C1240" t="str">
        <f t="shared" si="19"/>
        <v xml:space="preserve">Consultation - PhoneLP call to draft an action plan, and agree on engagements steps. Establish cadence, timeframes and critical outcome success factors </v>
      </c>
    </row>
    <row r="1241" spans="1:3" x14ac:dyDescent="0.35">
      <c r="A1241" t="s">
        <v>9</v>
      </c>
      <c r="B1241" t="s">
        <v>4124</v>
      </c>
      <c r="C1241" t="str">
        <f t="shared" si="19"/>
        <v>Consultation - PhoneDiscuss methods, tools and technologies needed for building an Analytics and BI Strategy</v>
      </c>
    </row>
    <row r="1242" spans="1:3" x14ac:dyDescent="0.35">
      <c r="A1242" t="s">
        <v>9</v>
      </c>
      <c r="B1242" t="s">
        <v>4134</v>
      </c>
      <c r="C1242" t="str">
        <f t="shared" si="19"/>
        <v xml:space="preserve">Consultation - PhoneCollaborate with Analyst to understand how organizations can apply analytic capabilities to improve performance and optimize decision making </v>
      </c>
    </row>
    <row r="1243" spans="1:3" x14ac:dyDescent="0.35">
      <c r="A1243" t="s">
        <v>9</v>
      </c>
      <c r="B1243" t="s">
        <v>3159</v>
      </c>
      <c r="C1243" t="str">
        <f t="shared" si="19"/>
        <v>Consultation - PhoneReview the entire engagement and address future state and other critical priorities</v>
      </c>
    </row>
    <row r="1244" spans="1:3" x14ac:dyDescent="0.35">
      <c r="A1244" t="s">
        <v>9</v>
      </c>
      <c r="B1244" t="s">
        <v>3492</v>
      </c>
      <c r="C1244" t="str">
        <f t="shared" si="19"/>
        <v xml:space="preserve">Consultation - PhoneLP call to draft an action plan, and agree on engagements steps. Establish cadence, timeframes and critical outcome success factors </v>
      </c>
    </row>
    <row r="1245" spans="1:3" x14ac:dyDescent="0.35">
      <c r="A1245" t="s">
        <v>9</v>
      </c>
      <c r="B1245" t="s">
        <v>4162</v>
      </c>
      <c r="C1245" t="str">
        <f t="shared" si="19"/>
        <v>Consultation - PhonePrioritize components to be addressed: compute, storage, network, physical plant, other</v>
      </c>
    </row>
    <row r="1246" spans="1:3" x14ac:dyDescent="0.35">
      <c r="A1246" t="s">
        <v>9</v>
      </c>
      <c r="B1246" t="s">
        <v>4171</v>
      </c>
      <c r="C1246" t="str">
        <f t="shared" si="19"/>
        <v xml:space="preserve">Consultation - PhoneProgress review call and course correction as needed.  Update engagement plan </v>
      </c>
    </row>
    <row r="1247" spans="1:3" x14ac:dyDescent="0.35">
      <c r="A1247" t="s">
        <v>9</v>
      </c>
      <c r="B1247" t="s">
        <v>3868</v>
      </c>
      <c r="C1247" t="str">
        <f t="shared" si="19"/>
        <v xml:space="preserve">Consultation - PhoneDiscuss the progress with LP, identify roadblocks and next steps </v>
      </c>
    </row>
    <row r="1248" spans="1:3" x14ac:dyDescent="0.35">
      <c r="A1248" t="s">
        <v>9</v>
      </c>
      <c r="B1248" t="s">
        <v>4186</v>
      </c>
      <c r="C1248" t="str">
        <f t="shared" si="19"/>
        <v>Consultation - PhoneLP call to review the entire engagement and address future state and other critical priorities</v>
      </c>
    </row>
    <row r="1249" spans="1:5" x14ac:dyDescent="0.35">
      <c r="A1249" t="s">
        <v>10</v>
      </c>
      <c r="B1249" t="s">
        <v>33</v>
      </c>
      <c r="C1249" t="str">
        <f t="shared" si="19"/>
        <v xml:space="preserve">EmailReview foundational research on optimizing design of IT.
</v>
      </c>
      <c r="D1249" t="s">
        <v>34</v>
      </c>
      <c r="E1249" t="s">
        <v>35</v>
      </c>
    </row>
    <row r="1250" spans="1:5" x14ac:dyDescent="0.35">
      <c r="A1250" t="s">
        <v>10</v>
      </c>
      <c r="B1250" t="s">
        <v>40</v>
      </c>
      <c r="C1250" t="str">
        <f t="shared" si="19"/>
        <v>EmailPeer Conversations:</v>
      </c>
      <c r="D1250" t="s">
        <v>41</v>
      </c>
      <c r="E1250" t="s">
        <v>42</v>
      </c>
    </row>
    <row r="1251" spans="1:5" x14ac:dyDescent="0.35">
      <c r="A1251" t="s">
        <v>10</v>
      </c>
      <c r="B1251" t="s">
        <v>44</v>
      </c>
      <c r="C1251" t="str">
        <f t="shared" si="19"/>
        <v xml:space="preserve">EmailLunch and learn event: 
</v>
      </c>
      <c r="D1251" t="s">
        <v>45</v>
      </c>
      <c r="E1251" t="s">
        <v>46</v>
      </c>
    </row>
    <row r="1252" spans="1:5" x14ac:dyDescent="0.35">
      <c r="A1252" t="s">
        <v>10</v>
      </c>
      <c r="B1252" t="s">
        <v>65</v>
      </c>
      <c r="C1252" t="str">
        <f t="shared" si="19"/>
        <v xml:space="preserve">EmailReview research on managing change associated with transition to new design:
</v>
      </c>
      <c r="D1252" t="s">
        <v>66</v>
      </c>
      <c r="E1252" t="s">
        <v>67</v>
      </c>
    </row>
    <row r="1253" spans="1:5" x14ac:dyDescent="0.35">
      <c r="A1253" t="s">
        <v>10</v>
      </c>
      <c r="B1253" t="s">
        <v>71</v>
      </c>
      <c r="C1253" t="str">
        <f t="shared" si="19"/>
        <v>EmailResearch:</v>
      </c>
      <c r="D1253" t="s">
        <v>72</v>
      </c>
      <c r="E1253" t="s">
        <v>73</v>
      </c>
    </row>
    <row r="1254" spans="1:5" x14ac:dyDescent="0.35">
      <c r="A1254" t="s">
        <v>10</v>
      </c>
      <c r="B1254" t="s">
        <v>74</v>
      </c>
      <c r="C1254" t="str">
        <f t="shared" si="19"/>
        <v>EmailReview research:</v>
      </c>
      <c r="D1254" t="s">
        <v>66</v>
      </c>
      <c r="E1254" t="s">
        <v>67</v>
      </c>
    </row>
    <row r="1255" spans="1:5" x14ac:dyDescent="0.35">
      <c r="A1255" t="s">
        <v>10</v>
      </c>
      <c r="B1255" t="s">
        <v>76</v>
      </c>
      <c r="C1255" t="str">
        <f t="shared" si="19"/>
        <v xml:space="preserve">EmailReview research to understand if current structure supports or inhibits collaborative work:
</v>
      </c>
      <c r="D1255" t="s">
        <v>77</v>
      </c>
      <c r="E1255" t="s">
        <v>78</v>
      </c>
    </row>
    <row r="1256" spans="1:5" x14ac:dyDescent="0.35">
      <c r="A1256" t="s">
        <v>10</v>
      </c>
      <c r="B1256" t="s">
        <v>79</v>
      </c>
      <c r="C1256" t="str">
        <f t="shared" si="19"/>
        <v xml:space="preserve">EmailForward-looking Research:
</v>
      </c>
      <c r="D1256" t="s">
        <v>72</v>
      </c>
      <c r="E1256" t="s">
        <v>78</v>
      </c>
    </row>
    <row r="1257" spans="1:5" x14ac:dyDescent="0.35">
      <c r="A1257" t="s">
        <v>10</v>
      </c>
      <c r="B1257" t="s">
        <v>89</v>
      </c>
      <c r="C1257" t="str">
        <f t="shared" si="19"/>
        <v>EmailFoundational research:</v>
      </c>
      <c r="D1257" t="s">
        <v>90</v>
      </c>
      <c r="E1257" t="s">
        <v>91</v>
      </c>
    </row>
    <row r="1258" spans="1:5" x14ac:dyDescent="0.35">
      <c r="A1258" t="s">
        <v>10</v>
      </c>
      <c r="B1258" t="s">
        <v>95</v>
      </c>
      <c r="C1258" t="str">
        <f t="shared" si="19"/>
        <v>EmailLunch and learn:</v>
      </c>
      <c r="D1258" t="s">
        <v>96</v>
      </c>
      <c r="E1258" t="s">
        <v>97</v>
      </c>
    </row>
    <row r="1259" spans="1:5" x14ac:dyDescent="0.35">
      <c r="A1259" t="s">
        <v>10</v>
      </c>
      <c r="B1259" t="s">
        <v>124</v>
      </c>
      <c r="C1259" t="str">
        <f t="shared" si="19"/>
        <v>EmailRead foundational research:</v>
      </c>
      <c r="D1259" t="s">
        <v>5</v>
      </c>
      <c r="E1259" t="s">
        <v>125</v>
      </c>
    </row>
    <row r="1260" spans="1:5" x14ac:dyDescent="0.35">
      <c r="A1260" t="s">
        <v>10</v>
      </c>
      <c r="B1260" t="s">
        <v>133</v>
      </c>
      <c r="C1260" t="str">
        <f t="shared" si="19"/>
        <v>EmailLunch &amp; learn:</v>
      </c>
      <c r="D1260" t="s">
        <v>134</v>
      </c>
      <c r="E1260" t="s">
        <v>135</v>
      </c>
    </row>
    <row r="1261" spans="1:5" x14ac:dyDescent="0.35">
      <c r="A1261" t="s">
        <v>10</v>
      </c>
      <c r="B1261" t="s">
        <v>144</v>
      </c>
      <c r="C1261" t="str">
        <f t="shared" si="19"/>
        <v>EmailLunch and learn event replay:</v>
      </c>
      <c r="D1261" t="s">
        <v>134</v>
      </c>
      <c r="E1261" t="s">
        <v>135</v>
      </c>
    </row>
    <row r="1262" spans="1:5" x14ac:dyDescent="0.35">
      <c r="A1262" t="s">
        <v>10</v>
      </c>
      <c r="B1262" t="s">
        <v>189</v>
      </c>
      <c r="C1262" t="str">
        <f t="shared" si="19"/>
        <v>EmailReview best practices on dealing with complexities and unexpected situations in enterprise mobility deployments.</v>
      </c>
      <c r="D1262" t="s">
        <v>190</v>
      </c>
      <c r="E1262" t="s">
        <v>191</v>
      </c>
    </row>
    <row r="1263" spans="1:5" x14ac:dyDescent="0.35">
      <c r="A1263" t="s">
        <v>10</v>
      </c>
      <c r="B1263" t="s">
        <v>204</v>
      </c>
      <c r="C1263" t="str">
        <f t="shared" si="19"/>
        <v xml:space="preserve">EmailPeer Conversations: </v>
      </c>
      <c r="D1263" t="s">
        <v>205</v>
      </c>
      <c r="E1263" t="s">
        <v>206</v>
      </c>
    </row>
    <row r="1264" spans="1:5" x14ac:dyDescent="0.35">
      <c r="A1264" t="s">
        <v>10</v>
      </c>
      <c r="B1264" t="s">
        <v>213</v>
      </c>
      <c r="C1264" t="str">
        <f t="shared" si="19"/>
        <v xml:space="preserve">EmailReview Gartner's managed diversity model that aligns choice with best fit security measures to protect enterprise information.
</v>
      </c>
      <c r="D1264" t="s">
        <v>214</v>
      </c>
      <c r="E1264" t="s">
        <v>215</v>
      </c>
    </row>
    <row r="1265" spans="1:5" x14ac:dyDescent="0.35">
      <c r="A1265" t="s">
        <v>10</v>
      </c>
      <c r="B1265" t="s">
        <v>233</v>
      </c>
      <c r="C1265" t="str">
        <f t="shared" si="19"/>
        <v>EmailLunch and learn event replay</v>
      </c>
      <c r="D1265" t="s">
        <v>232</v>
      </c>
      <c r="E1265" t="s">
        <v>234</v>
      </c>
    </row>
    <row r="1266" spans="1:5" x14ac:dyDescent="0.35">
      <c r="A1266" t="s">
        <v>10</v>
      </c>
      <c r="B1266" t="s">
        <v>257</v>
      </c>
      <c r="C1266" t="str">
        <f t="shared" si="19"/>
        <v xml:space="preserve">EmailResearch: </v>
      </c>
      <c r="D1266" t="s">
        <v>258</v>
      </c>
      <c r="E1266" t="s">
        <v>259</v>
      </c>
    </row>
    <row r="1267" spans="1:5" x14ac:dyDescent="0.35">
      <c r="A1267" t="s">
        <v>10</v>
      </c>
      <c r="B1267" t="s">
        <v>284</v>
      </c>
      <c r="C1267" t="str">
        <f t="shared" si="19"/>
        <v>EmailPeer Conversation:</v>
      </c>
      <c r="D1267" t="s">
        <v>285</v>
      </c>
      <c r="E1267" t="s">
        <v>286</v>
      </c>
    </row>
    <row r="1268" spans="1:5" x14ac:dyDescent="0.35">
      <c r="A1268" t="s">
        <v>10</v>
      </c>
      <c r="B1268" t="s">
        <v>290</v>
      </c>
      <c r="C1268" t="str">
        <f t="shared" si="19"/>
        <v>EmailReview foundational research. Read first.</v>
      </c>
      <c r="D1268" t="s">
        <v>291</v>
      </c>
      <c r="E1268" t="s">
        <v>292</v>
      </c>
    </row>
    <row r="1269" spans="1:5" x14ac:dyDescent="0.35">
      <c r="A1269" t="s">
        <v>10</v>
      </c>
      <c r="B1269" t="s">
        <v>300</v>
      </c>
      <c r="C1269" t="str">
        <f t="shared" si="19"/>
        <v>EmailReview peer conversations.</v>
      </c>
      <c r="D1269" t="s">
        <v>301</v>
      </c>
      <c r="E1269" t="s">
        <v>302</v>
      </c>
    </row>
    <row r="1270" spans="1:5" x14ac:dyDescent="0.35">
      <c r="A1270" t="s">
        <v>10</v>
      </c>
      <c r="B1270" t="s">
        <v>306</v>
      </c>
      <c r="C1270" t="str">
        <f t="shared" si="19"/>
        <v>EmailLunch and learn webinar:</v>
      </c>
      <c r="D1270" t="s">
        <v>307</v>
      </c>
      <c r="E1270" t="s">
        <v>308</v>
      </c>
    </row>
    <row r="1271" spans="1:5" x14ac:dyDescent="0.35">
      <c r="A1271" t="s">
        <v>10</v>
      </c>
      <c r="B1271" t="s">
        <v>328</v>
      </c>
      <c r="C1271" t="str">
        <f t="shared" si="19"/>
        <v>EmailReview research on evolving from reliance on spreadsheets.</v>
      </c>
      <c r="D1271" t="s">
        <v>329</v>
      </c>
      <c r="E1271" t="s">
        <v>330</v>
      </c>
    </row>
    <row r="1272" spans="1:5" x14ac:dyDescent="0.35">
      <c r="A1272" t="s">
        <v>10</v>
      </c>
      <c r="B1272" t="s">
        <v>332</v>
      </c>
      <c r="C1272" t="str">
        <f t="shared" si="19"/>
        <v>EmailReview  best practices from peers:</v>
      </c>
      <c r="D1272" t="s">
        <v>333</v>
      </c>
      <c r="E1272" t="s">
        <v>334</v>
      </c>
    </row>
    <row r="1273" spans="1:5" x14ac:dyDescent="0.35">
      <c r="A1273" t="s">
        <v>10</v>
      </c>
      <c r="B1273" t="s">
        <v>335</v>
      </c>
      <c r="C1273" t="str">
        <f t="shared" si="19"/>
        <v xml:space="preserve">EmailReview user segmentation, use-cases, BI and analytics tools. </v>
      </c>
      <c r="D1273" t="s">
        <v>336</v>
      </c>
      <c r="E1273" t="s">
        <v>337</v>
      </c>
    </row>
    <row r="1274" spans="1:5" x14ac:dyDescent="0.35">
      <c r="A1274" t="s">
        <v>10</v>
      </c>
      <c r="B1274" t="s">
        <v>341</v>
      </c>
      <c r="C1274" t="str">
        <f t="shared" si="19"/>
        <v>EmailEstablish best practices for self-service Analytics &amp; BI.</v>
      </c>
      <c r="D1274" t="s">
        <v>342</v>
      </c>
      <c r="E1274" t="s">
        <v>343</v>
      </c>
    </row>
    <row r="1275" spans="1:5" x14ac:dyDescent="0.35">
      <c r="A1275" t="s">
        <v>10</v>
      </c>
      <c r="B1275" t="s">
        <v>349</v>
      </c>
      <c r="C1275" t="str">
        <f t="shared" si="19"/>
        <v>EmailEstablish governance:</v>
      </c>
      <c r="D1275" t="s">
        <v>350</v>
      </c>
      <c r="E1275" t="s">
        <v>351</v>
      </c>
    </row>
    <row r="1276" spans="1:5" x14ac:dyDescent="0.35">
      <c r="A1276" t="s">
        <v>10</v>
      </c>
      <c r="B1276" t="s">
        <v>352</v>
      </c>
      <c r="C1276" t="str">
        <f t="shared" si="19"/>
        <v>EmailReview research on identifying areas of redundant practice and technology overlap to streamline tool portfolio.</v>
      </c>
      <c r="D1276" t="s">
        <v>353</v>
      </c>
      <c r="E1276" t="s">
        <v>354</v>
      </c>
    </row>
    <row r="1277" spans="1:5" x14ac:dyDescent="0.35">
      <c r="A1277" t="s">
        <v>10</v>
      </c>
      <c r="B1277" t="s">
        <v>360</v>
      </c>
      <c r="C1277" t="str">
        <f t="shared" si="19"/>
        <v>EmailReview recently published research.</v>
      </c>
      <c r="D1277" t="s">
        <v>3</v>
      </c>
      <c r="E1277" t="s">
        <v>361</v>
      </c>
    </row>
    <row r="1278" spans="1:5" x14ac:dyDescent="0.35">
      <c r="A1278" t="s">
        <v>10</v>
      </c>
      <c r="B1278" t="s">
        <v>368</v>
      </c>
      <c r="C1278" t="str">
        <f t="shared" si="19"/>
        <v>EmailLunch &amp; learn webinar: Understand levels of AI adoption, preparing for AI and case studies.</v>
      </c>
      <c r="D1278" t="s">
        <v>369</v>
      </c>
      <c r="E1278" t="s">
        <v>370</v>
      </c>
    </row>
    <row r="1279" spans="1:5" x14ac:dyDescent="0.35">
      <c r="A1279" t="s">
        <v>10</v>
      </c>
      <c r="B1279" t="s">
        <v>377</v>
      </c>
      <c r="C1279" t="str">
        <f t="shared" si="19"/>
        <v>EmailReview research on targeting the most promising opportunities for AI and successfully delivering AI capabilities.</v>
      </c>
      <c r="D1279" t="s">
        <v>378</v>
      </c>
      <c r="E1279" t="s">
        <v>379</v>
      </c>
    </row>
    <row r="1280" spans="1:5" x14ac:dyDescent="0.35">
      <c r="A1280" t="s">
        <v>10</v>
      </c>
      <c r="B1280" t="s">
        <v>394</v>
      </c>
      <c r="C1280" t="str">
        <f t="shared" si="19"/>
        <v xml:space="preserve">EmailReview new articles on Artificial Intelligence on </v>
      </c>
      <c r="D1280" t="s">
        <v>395</v>
      </c>
      <c r="E1280" t="s">
        <v>396</v>
      </c>
    </row>
    <row r="1281" spans="1:5" x14ac:dyDescent="0.35">
      <c r="A1281" t="s">
        <v>10</v>
      </c>
      <c r="B1281" t="s">
        <v>401</v>
      </c>
      <c r="C1281" t="str">
        <f t="shared" si="19"/>
        <v xml:space="preserve">EmailReview peer conversations. 
</v>
      </c>
      <c r="D1281" t="s">
        <v>1</v>
      </c>
      <c r="E1281" t="s">
        <v>400</v>
      </c>
    </row>
    <row r="1282" spans="1:5" x14ac:dyDescent="0.35">
      <c r="A1282" t="s">
        <v>10</v>
      </c>
      <c r="B1282" t="s">
        <v>403</v>
      </c>
      <c r="C1282" t="str">
        <f t="shared" si="19"/>
        <v>EmailEstablish AI team structure:</v>
      </c>
      <c r="D1282" t="s">
        <v>404</v>
      </c>
      <c r="E1282" t="s">
        <v>405</v>
      </c>
    </row>
    <row r="1283" spans="1:5" x14ac:dyDescent="0.35">
      <c r="A1283" t="s">
        <v>10</v>
      </c>
      <c r="B1283" t="s">
        <v>410</v>
      </c>
      <c r="C1283" t="str">
        <f t="shared" ref="C1283:C1346" si="20">CONCATENATE(A1283,B1283)</f>
        <v xml:space="preserve">EmailLeverage gartner.com to stay abreast of the latest insights. 
</v>
      </c>
      <c r="D1283" t="s">
        <v>1</v>
      </c>
      <c r="E1283" t="s">
        <v>276</v>
      </c>
    </row>
    <row r="1284" spans="1:5" x14ac:dyDescent="0.35">
      <c r="A1284" t="s">
        <v>10</v>
      </c>
      <c r="B1284" t="s">
        <v>413</v>
      </c>
      <c r="C1284" t="str">
        <f t="shared" si="20"/>
        <v xml:space="preserve">EmailReview research: </v>
      </c>
      <c r="D1284" t="s">
        <v>414</v>
      </c>
      <c r="E1284" t="s">
        <v>415</v>
      </c>
    </row>
    <row r="1285" spans="1:5" x14ac:dyDescent="0.35">
      <c r="A1285" t="s">
        <v>10</v>
      </c>
      <c r="B1285" t="s">
        <v>425</v>
      </c>
      <c r="C1285" t="str">
        <f t="shared" si="20"/>
        <v xml:space="preserve">EmailReview research for framework to accelerate the design process and provide a narrative for communicating the change:
</v>
      </c>
      <c r="D1285" t="s">
        <v>414</v>
      </c>
      <c r="E1285" t="s">
        <v>415</v>
      </c>
    </row>
    <row r="1286" spans="1:5" x14ac:dyDescent="0.35">
      <c r="A1286" t="s">
        <v>10</v>
      </c>
      <c r="B1286" t="s">
        <v>426</v>
      </c>
      <c r="C1286" t="str">
        <f t="shared" si="20"/>
        <v xml:space="preserve">EmailTeam lunch and learn event replay: </v>
      </c>
      <c r="D1286" t="s">
        <v>427</v>
      </c>
      <c r="E1286" t="s">
        <v>428</v>
      </c>
    </row>
    <row r="1287" spans="1:5" x14ac:dyDescent="0.35">
      <c r="A1287" t="s">
        <v>10</v>
      </c>
      <c r="B1287" t="s">
        <v>431</v>
      </c>
      <c r="C1287" t="str">
        <f t="shared" si="20"/>
        <v>EmailReview patterns:</v>
      </c>
      <c r="D1287" t="s">
        <v>432</v>
      </c>
      <c r="E1287" t="s">
        <v>433</v>
      </c>
    </row>
    <row r="1288" spans="1:5" x14ac:dyDescent="0.35">
      <c r="A1288" t="s">
        <v>10</v>
      </c>
      <c r="B1288" t="s">
        <v>437</v>
      </c>
      <c r="C1288" t="str">
        <f t="shared" si="20"/>
        <v xml:space="preserve">EmailReview patterns:
</v>
      </c>
      <c r="D1288" t="s">
        <v>432</v>
      </c>
      <c r="E1288" t="s">
        <v>433</v>
      </c>
    </row>
    <row r="1289" spans="1:5" x14ac:dyDescent="0.35">
      <c r="A1289" t="s">
        <v>10</v>
      </c>
      <c r="B1289" t="s">
        <v>438</v>
      </c>
      <c r="C1289" t="str">
        <f t="shared" si="20"/>
        <v xml:space="preserve">EmailUnderstand how governance and culture influence, and are influenced by, the design of an I&amp;T operating model:  
</v>
      </c>
      <c r="D1289" t="s">
        <v>439</v>
      </c>
      <c r="E1289" t="s">
        <v>440</v>
      </c>
    </row>
    <row r="1290" spans="1:5" x14ac:dyDescent="0.35">
      <c r="A1290" t="s">
        <v>10</v>
      </c>
      <c r="B1290" t="s">
        <v>443</v>
      </c>
      <c r="C1290" t="str">
        <f t="shared" si="20"/>
        <v xml:space="preserve">EmailReview case studies on how leading companies have redesigned their I&amp;T Operating Model.  
</v>
      </c>
      <c r="D1290" t="s">
        <v>444</v>
      </c>
      <c r="E1290" t="s">
        <v>445</v>
      </c>
    </row>
    <row r="1291" spans="1:5" x14ac:dyDescent="0.35">
      <c r="A1291" t="s">
        <v>10</v>
      </c>
      <c r="B1291" t="s">
        <v>446</v>
      </c>
      <c r="C1291" t="str">
        <f t="shared" si="20"/>
        <v>EmailExplore forward thinking research:</v>
      </c>
      <c r="D1291" t="s">
        <v>447</v>
      </c>
      <c r="E1291" t="s">
        <v>448</v>
      </c>
    </row>
    <row r="1292" spans="1:5" x14ac:dyDescent="0.35">
      <c r="A1292" t="s">
        <v>10</v>
      </c>
      <c r="B1292" t="s">
        <v>454</v>
      </c>
      <c r="C1292" t="str">
        <f t="shared" si="20"/>
        <v xml:space="preserve">EmailReview foundational research on IT Strategy: 
</v>
      </c>
      <c r="D1292" t="s">
        <v>455</v>
      </c>
      <c r="E1292" t="s">
        <v>456</v>
      </c>
    </row>
    <row r="1293" spans="1:5" x14ac:dyDescent="0.35">
      <c r="A1293" t="s">
        <v>10</v>
      </c>
      <c r="B1293" t="s">
        <v>460</v>
      </c>
      <c r="C1293" t="str">
        <f t="shared" si="20"/>
        <v xml:space="preserve">EmailUse ITScore to assess the IT organization's ability partner with the business &amp; execute on strategy. 
</v>
      </c>
      <c r="D1293" t="s">
        <v>422</v>
      </c>
      <c r="E1293" t="s">
        <v>461</v>
      </c>
    </row>
    <row r="1294" spans="1:5" x14ac:dyDescent="0.35">
      <c r="A1294" t="s">
        <v>10</v>
      </c>
      <c r="B1294" t="s">
        <v>469</v>
      </c>
      <c r="C1294" t="str">
        <f t="shared" si="20"/>
        <v>EmailHost a lunch and learn leveraging Symposium replay:</v>
      </c>
      <c r="D1294" t="s">
        <v>470</v>
      </c>
      <c r="E1294" t="s">
        <v>471</v>
      </c>
    </row>
    <row r="1295" spans="1:5" x14ac:dyDescent="0.35">
      <c r="A1295" t="s">
        <v>10</v>
      </c>
      <c r="B1295" t="s">
        <v>472</v>
      </c>
      <c r="C1295" t="str">
        <f t="shared" si="20"/>
        <v>EmailReview Gartner strategy templates:</v>
      </c>
      <c r="D1295" t="s">
        <v>473</v>
      </c>
      <c r="E1295" t="s">
        <v>474</v>
      </c>
    </row>
    <row r="1296" spans="1:5" x14ac:dyDescent="0.35">
      <c r="A1296" t="s">
        <v>10</v>
      </c>
      <c r="B1296" t="s">
        <v>481</v>
      </c>
      <c r="C1296" t="str">
        <f t="shared" si="20"/>
        <v xml:space="preserve">EmailReview best-practices to ensure IT strategy is brief, clear and focused on business success.
</v>
      </c>
      <c r="D1296" t="s">
        <v>482</v>
      </c>
      <c r="E1296" t="s">
        <v>483</v>
      </c>
    </row>
    <row r="1297" spans="1:5" x14ac:dyDescent="0.35">
      <c r="A1297" t="s">
        <v>10</v>
      </c>
      <c r="B1297" t="s">
        <v>486</v>
      </c>
      <c r="C1297" t="str">
        <f t="shared" si="20"/>
        <v>EmailCommunicate Strategy:</v>
      </c>
      <c r="D1297" t="s">
        <v>487</v>
      </c>
      <c r="E1297" t="s">
        <v>488</v>
      </c>
    </row>
    <row r="1298" spans="1:5" x14ac:dyDescent="0.35">
      <c r="A1298" t="s">
        <v>10</v>
      </c>
      <c r="B1298" t="s">
        <v>491</v>
      </c>
      <c r="C1298" t="str">
        <f t="shared" si="20"/>
        <v>EmailDrive change:</v>
      </c>
      <c r="D1298" t="s">
        <v>492</v>
      </c>
      <c r="E1298" t="s">
        <v>493</v>
      </c>
    </row>
    <row r="1299" spans="1:5" x14ac:dyDescent="0.35">
      <c r="A1299" t="s">
        <v>10</v>
      </c>
      <c r="B1299" t="s">
        <v>498</v>
      </c>
      <c r="C1299" t="str">
        <f t="shared" si="20"/>
        <v xml:space="preserve">EmailLeverage scenario planning to test strategic assumptions against unforeseen changes and to prepare suitable responses. 
</v>
      </c>
      <c r="D1299" t="s">
        <v>499</v>
      </c>
      <c r="E1299" t="s">
        <v>500</v>
      </c>
    </row>
    <row r="1300" spans="1:5" x14ac:dyDescent="0.35">
      <c r="A1300" t="s">
        <v>10</v>
      </c>
      <c r="B1300" t="s">
        <v>502</v>
      </c>
      <c r="C1300" t="str">
        <f t="shared" si="20"/>
        <v>EmailReview peer conversations:</v>
      </c>
      <c r="D1300" t="s">
        <v>503</v>
      </c>
      <c r="E1300" t="s">
        <v>504</v>
      </c>
    </row>
    <row r="1301" spans="1:5" x14ac:dyDescent="0.35">
      <c r="A1301" t="s">
        <v>10</v>
      </c>
      <c r="B1301" t="s">
        <v>505</v>
      </c>
      <c r="C1301" t="str">
        <f t="shared" si="20"/>
        <v xml:space="preserve">EmailRepeat assessment:
</v>
      </c>
      <c r="D1301" t="s">
        <v>422</v>
      </c>
      <c r="E1301" t="s">
        <v>461</v>
      </c>
    </row>
    <row r="1302" spans="1:5" x14ac:dyDescent="0.35">
      <c r="A1302" t="s">
        <v>10</v>
      </c>
      <c r="B1302" t="s">
        <v>511</v>
      </c>
      <c r="C1302" t="str">
        <f t="shared" si="20"/>
        <v>EmailFoundational research. Read first:</v>
      </c>
      <c r="D1302" t="s">
        <v>512</v>
      </c>
      <c r="E1302" t="s">
        <v>513</v>
      </c>
    </row>
    <row r="1303" spans="1:5" x14ac:dyDescent="0.35">
      <c r="A1303" t="s">
        <v>10</v>
      </c>
      <c r="B1303" t="s">
        <v>518</v>
      </c>
      <c r="C1303" t="str">
        <f t="shared" si="20"/>
        <v>EmailTeam lunch and learn leveraging Symposium replay:</v>
      </c>
      <c r="D1303" t="s">
        <v>519</v>
      </c>
      <c r="E1303" t="s">
        <v>520</v>
      </c>
    </row>
    <row r="1304" spans="1:5" x14ac:dyDescent="0.35">
      <c r="A1304" t="s">
        <v>10</v>
      </c>
      <c r="B1304" t="s">
        <v>522</v>
      </c>
      <c r="C1304" t="str">
        <f t="shared" si="20"/>
        <v>EmailHost a lunch and learn with Symposium event replay:</v>
      </c>
      <c r="D1304" t="s">
        <v>523</v>
      </c>
      <c r="E1304" t="s">
        <v>520</v>
      </c>
    </row>
    <row r="1305" spans="1:5" x14ac:dyDescent="0.35">
      <c r="A1305" t="s">
        <v>10</v>
      </c>
      <c r="B1305" t="s">
        <v>524</v>
      </c>
      <c r="C1305" t="str">
        <f t="shared" si="20"/>
        <v>EmailSetting up the IT Investment Council. Developing a value communication approach – Executive &amp; BU perspective.</v>
      </c>
      <c r="D1305" t="s">
        <v>525</v>
      </c>
      <c r="E1305" t="s">
        <v>526</v>
      </c>
    </row>
    <row r="1306" spans="1:5" x14ac:dyDescent="0.35">
      <c r="A1306" t="s">
        <v>10</v>
      </c>
      <c r="B1306" t="s">
        <v>527</v>
      </c>
      <c r="C1306" t="str">
        <f t="shared" si="20"/>
        <v xml:space="preserve">EmailTeam lunch and learn leveraging Symposium replay: 
</v>
      </c>
      <c r="D1306" t="s">
        <v>528</v>
      </c>
      <c r="E1306" t="s">
        <v>529</v>
      </c>
    </row>
    <row r="1307" spans="1:5" x14ac:dyDescent="0.35">
      <c r="A1307" t="s">
        <v>10</v>
      </c>
      <c r="B1307" t="s">
        <v>541</v>
      </c>
      <c r="C1307" t="str">
        <f t="shared" si="20"/>
        <v>EmailReview peer content:</v>
      </c>
      <c r="D1307" t="s">
        <v>542</v>
      </c>
      <c r="E1307" t="s">
        <v>543</v>
      </c>
    </row>
    <row r="1308" spans="1:5" x14ac:dyDescent="0.35">
      <c r="A1308" t="s">
        <v>10</v>
      </c>
      <c r="B1308" t="s">
        <v>547</v>
      </c>
      <c r="C1308" t="str">
        <f t="shared" si="20"/>
        <v xml:space="preserve">EmailResearch on developing business-performance-focused metrics: 
</v>
      </c>
      <c r="D1308" t="s">
        <v>548</v>
      </c>
      <c r="E1308" t="s">
        <v>549</v>
      </c>
    </row>
    <row r="1309" spans="1:5" x14ac:dyDescent="0.35">
      <c r="A1309" t="s">
        <v>10</v>
      </c>
      <c r="B1309" t="s">
        <v>553</v>
      </c>
      <c r="C1309" t="str">
        <f t="shared" si="20"/>
        <v>EmailReport on value:</v>
      </c>
      <c r="D1309" t="s">
        <v>554</v>
      </c>
      <c r="E1309" t="s">
        <v>552</v>
      </c>
    </row>
    <row r="1310" spans="1:5" x14ac:dyDescent="0.35">
      <c r="A1310" t="s">
        <v>10</v>
      </c>
      <c r="B1310" t="s">
        <v>555</v>
      </c>
      <c r="C1310" t="str">
        <f t="shared" si="20"/>
        <v>EmailCommunicate to the business:</v>
      </c>
      <c r="D1310" t="s">
        <v>487</v>
      </c>
      <c r="E1310" t="s">
        <v>488</v>
      </c>
    </row>
    <row r="1311" spans="1:5" x14ac:dyDescent="0.35">
      <c r="A1311" t="s">
        <v>10</v>
      </c>
      <c r="B1311" t="s">
        <v>561</v>
      </c>
      <c r="C1311" t="str">
        <f t="shared" si="20"/>
        <v xml:space="preserve">EmailEffectively communicating IT success and value through the use of dashboards: 
</v>
      </c>
      <c r="D1311" t="s">
        <v>562</v>
      </c>
      <c r="E1311" t="s">
        <v>563</v>
      </c>
    </row>
    <row r="1312" spans="1:5" x14ac:dyDescent="0.35">
      <c r="A1312" t="s">
        <v>10</v>
      </c>
      <c r="B1312" t="s">
        <v>566</v>
      </c>
      <c r="C1312" t="str">
        <f t="shared" si="20"/>
        <v>EmailReview research</v>
      </c>
      <c r="D1312" t="s">
        <v>567</v>
      </c>
      <c r="E1312" t="s">
        <v>568</v>
      </c>
    </row>
    <row r="1313" spans="1:5" x14ac:dyDescent="0.35">
      <c r="A1313" t="s">
        <v>10</v>
      </c>
      <c r="B1313" t="s">
        <v>569</v>
      </c>
      <c r="C1313" t="str">
        <f t="shared" si="20"/>
        <v xml:space="preserve">EmailReview M&amp;A research: </v>
      </c>
      <c r="D1313" t="s">
        <v>570</v>
      </c>
      <c r="E1313" t="s">
        <v>571</v>
      </c>
    </row>
    <row r="1314" spans="1:5" x14ac:dyDescent="0.35">
      <c r="A1314" t="s">
        <v>10</v>
      </c>
      <c r="B1314" t="s">
        <v>579</v>
      </c>
      <c r="C1314" t="str">
        <f t="shared" si="20"/>
        <v>EmailPrepare executive communications:</v>
      </c>
      <c r="D1314" t="s">
        <v>580</v>
      </c>
      <c r="E1314" t="s">
        <v>581</v>
      </c>
    </row>
    <row r="1315" spans="1:5" x14ac:dyDescent="0.35">
      <c r="A1315" t="s">
        <v>10</v>
      </c>
      <c r="B1315" t="s">
        <v>586</v>
      </c>
      <c r="C1315" t="str">
        <f t="shared" si="20"/>
        <v>EmailReview research on change management including:</v>
      </c>
      <c r="D1315" t="s">
        <v>587</v>
      </c>
      <c r="E1315" t="s">
        <v>588</v>
      </c>
    </row>
    <row r="1316" spans="1:5" x14ac:dyDescent="0.35">
      <c r="A1316" t="s">
        <v>10</v>
      </c>
      <c r="B1316" t="s">
        <v>592</v>
      </c>
      <c r="C1316" t="str">
        <f t="shared" si="20"/>
        <v>EmailCommunication strategy and tools:</v>
      </c>
      <c r="D1316" t="s">
        <v>593</v>
      </c>
      <c r="E1316" t="s">
        <v>594</v>
      </c>
    </row>
    <row r="1317" spans="1:5" x14ac:dyDescent="0.35">
      <c r="A1317" t="s">
        <v>10</v>
      </c>
      <c r="B1317" t="s">
        <v>610</v>
      </c>
      <c r="C1317" t="str">
        <f t="shared" si="20"/>
        <v xml:space="preserve">EmailDevelop an innovation charter that defines the scope of the innovation effort, success metrics and goals. </v>
      </c>
      <c r="D1317" t="s">
        <v>611</v>
      </c>
      <c r="E1317" t="s">
        <v>612</v>
      </c>
    </row>
    <row r="1318" spans="1:5" x14ac:dyDescent="0.35">
      <c r="A1318" t="s">
        <v>10</v>
      </c>
      <c r="B1318" t="s">
        <v>614</v>
      </c>
      <c r="C1318" t="str">
        <f t="shared" si="20"/>
        <v>EmailDevelop an innovation charter:</v>
      </c>
      <c r="D1318" t="s">
        <v>615</v>
      </c>
      <c r="E1318" t="s">
        <v>612</v>
      </c>
    </row>
    <row r="1319" spans="1:5" x14ac:dyDescent="0.35">
      <c r="A1319" t="s">
        <v>10</v>
      </c>
      <c r="B1319" t="s">
        <v>620</v>
      </c>
      <c r="C1319" t="str">
        <f t="shared" si="20"/>
        <v>EmailTeam lunch and learn to navigate the expanding landscape of innovation approaches and practices:</v>
      </c>
      <c r="D1319" t="s">
        <v>621</v>
      </c>
      <c r="E1319" t="s">
        <v>622</v>
      </c>
    </row>
    <row r="1320" spans="1:5" x14ac:dyDescent="0.35">
      <c r="A1320" t="s">
        <v>10</v>
      </c>
      <c r="B1320" t="s">
        <v>630</v>
      </c>
      <c r="C1320" t="str">
        <f t="shared" si="20"/>
        <v>EmailUse approaches from start ups for top-line business value creation.</v>
      </c>
      <c r="D1320" t="s">
        <v>631</v>
      </c>
      <c r="E1320" t="s">
        <v>632</v>
      </c>
    </row>
    <row r="1321" spans="1:5" x14ac:dyDescent="0.35">
      <c r="A1321" t="s">
        <v>10</v>
      </c>
      <c r="B1321" t="s">
        <v>637</v>
      </c>
      <c r="C1321" t="str">
        <f t="shared" si="20"/>
        <v>EmailExperiment with different techniques to drive innovation:</v>
      </c>
      <c r="D1321" t="s">
        <v>638</v>
      </c>
      <c r="E1321" t="s">
        <v>639</v>
      </c>
    </row>
    <row r="1322" spans="1:5" x14ac:dyDescent="0.35">
      <c r="A1322" t="s">
        <v>10</v>
      </c>
      <c r="B1322" t="s">
        <v>644</v>
      </c>
      <c r="C1322" t="str">
        <f t="shared" si="20"/>
        <v>EmailReview peer discussions and templates:</v>
      </c>
      <c r="D1322" t="s">
        <v>645</v>
      </c>
      <c r="E1322" t="s">
        <v>646</v>
      </c>
    </row>
    <row r="1323" spans="1:5" x14ac:dyDescent="0.35">
      <c r="A1323" t="s">
        <v>10</v>
      </c>
      <c r="B1323" t="s">
        <v>652</v>
      </c>
      <c r="C1323" t="str">
        <f t="shared" si="20"/>
        <v>EmailReview latest research:</v>
      </c>
      <c r="D1323" t="s">
        <v>645</v>
      </c>
      <c r="E1323" t="s">
        <v>653</v>
      </c>
    </row>
    <row r="1324" spans="1:5" x14ac:dyDescent="0.35">
      <c r="A1324" t="s">
        <v>10</v>
      </c>
      <c r="B1324" t="s">
        <v>666</v>
      </c>
      <c r="C1324" t="str">
        <f t="shared" si="20"/>
        <v>EmailLeverage toolkit to set targets for unit costs and staffing ratios.</v>
      </c>
      <c r="D1324" t="s">
        <v>667</v>
      </c>
      <c r="E1324" t="s">
        <v>668</v>
      </c>
    </row>
    <row r="1325" spans="1:5" x14ac:dyDescent="0.35">
      <c r="A1325" t="s">
        <v>10</v>
      </c>
      <c r="B1325" t="s">
        <v>673</v>
      </c>
      <c r="C1325" t="str">
        <f t="shared" si="20"/>
        <v>EmailRead research to rationalize and consolidate vendors.</v>
      </c>
      <c r="D1325" t="s">
        <v>674</v>
      </c>
      <c r="E1325" t="s">
        <v>675</v>
      </c>
    </row>
    <row r="1326" spans="1:5" x14ac:dyDescent="0.35">
      <c r="A1326" t="s">
        <v>10</v>
      </c>
      <c r="B1326" t="s">
        <v>676</v>
      </c>
      <c r="C1326" t="str">
        <f t="shared" si="20"/>
        <v xml:space="preserve">EmailTeam lunch and learn using Symposium replay. </v>
      </c>
      <c r="D1326" t="s">
        <v>677</v>
      </c>
      <c r="E1326" t="s">
        <v>678</v>
      </c>
    </row>
    <row r="1327" spans="1:5" x14ac:dyDescent="0.35">
      <c r="A1327" t="s">
        <v>10</v>
      </c>
      <c r="B1327" t="s">
        <v>689</v>
      </c>
      <c r="C1327" t="str">
        <f t="shared" si="20"/>
        <v>EmailEmbed cost optimization into ongoing strategy to manage the financial challenges.</v>
      </c>
      <c r="D1327" t="s">
        <v>690</v>
      </c>
      <c r="E1327" t="s">
        <v>691</v>
      </c>
    </row>
    <row r="1328" spans="1:5" x14ac:dyDescent="0.35">
      <c r="A1328" t="s">
        <v>10</v>
      </c>
      <c r="B1328" t="s">
        <v>696</v>
      </c>
      <c r="C1328" t="str">
        <f t="shared" si="20"/>
        <v>EmailReview research to reconcile stakeholder perspectives on the CRM and CX initiatives.</v>
      </c>
      <c r="D1328" t="s">
        <v>697</v>
      </c>
      <c r="E1328" t="s">
        <v>698</v>
      </c>
    </row>
    <row r="1329" spans="1:5" x14ac:dyDescent="0.35">
      <c r="A1329" t="s">
        <v>10</v>
      </c>
      <c r="B1329" t="s">
        <v>701</v>
      </c>
      <c r="C1329" t="str">
        <f t="shared" si="20"/>
        <v xml:space="preserve">EmailInventory ongoing and planned CX projects. </v>
      </c>
      <c r="D1329" t="s">
        <v>702</v>
      </c>
      <c r="E1329" t="s">
        <v>703</v>
      </c>
    </row>
    <row r="1330" spans="1:5" x14ac:dyDescent="0.35">
      <c r="A1330" t="s">
        <v>10</v>
      </c>
      <c r="B1330" t="s">
        <v>710</v>
      </c>
      <c r="C1330" t="str">
        <f t="shared" si="20"/>
        <v>EmailEvaluate additional ideas for consideration:</v>
      </c>
      <c r="D1330" t="s">
        <v>711</v>
      </c>
      <c r="E1330" t="s">
        <v>712</v>
      </c>
    </row>
    <row r="1331" spans="1:5" x14ac:dyDescent="0.35">
      <c r="A1331" t="s">
        <v>10</v>
      </c>
      <c r="B1331" t="s">
        <v>713</v>
      </c>
      <c r="C1331" t="str">
        <f t="shared" si="20"/>
        <v>EmailBackground reading for lunch and learn:</v>
      </c>
      <c r="D1331" t="s">
        <v>714</v>
      </c>
      <c r="E1331" t="s">
        <v>715</v>
      </c>
    </row>
    <row r="1332" spans="1:5" x14ac:dyDescent="0.35">
      <c r="A1332" t="s">
        <v>10</v>
      </c>
      <c r="B1332" t="s">
        <v>720</v>
      </c>
      <c r="C1332" t="str">
        <f t="shared" si="20"/>
        <v>EmailTeam lunch and learn using Symposium replay:</v>
      </c>
      <c r="D1332" t="s">
        <v>721</v>
      </c>
      <c r="E1332" t="s">
        <v>722</v>
      </c>
    </row>
    <row r="1333" spans="1:5" x14ac:dyDescent="0.35">
      <c r="A1333" t="s">
        <v>10</v>
      </c>
      <c r="B1333" t="s">
        <v>724</v>
      </c>
      <c r="C1333" t="str">
        <f t="shared" si="20"/>
        <v>EmailEstablish metrics for Customer Experience</v>
      </c>
      <c r="D1333" t="s">
        <v>725</v>
      </c>
      <c r="E1333" t="s">
        <v>726</v>
      </c>
    </row>
    <row r="1334" spans="1:5" x14ac:dyDescent="0.35">
      <c r="A1334" t="s">
        <v>10</v>
      </c>
      <c r="B1334" t="s">
        <v>727</v>
      </c>
      <c r="C1334" t="str">
        <f t="shared" si="20"/>
        <v>EmailUnderstand and manage the CX metrics.</v>
      </c>
      <c r="D1334" t="s">
        <v>728</v>
      </c>
      <c r="E1334" t="s">
        <v>729</v>
      </c>
    </row>
    <row r="1335" spans="1:5" x14ac:dyDescent="0.35">
      <c r="A1335" t="s">
        <v>10</v>
      </c>
      <c r="B1335" t="s">
        <v>745</v>
      </c>
      <c r="C1335" t="str">
        <f t="shared" si="20"/>
        <v>EmailEvaluate a tiered approach to ERP Strategy</v>
      </c>
      <c r="D1335" t="s">
        <v>746</v>
      </c>
      <c r="E1335" t="s">
        <v>747</v>
      </c>
    </row>
    <row r="1336" spans="1:5" x14ac:dyDescent="0.35">
      <c r="A1336" t="s">
        <v>10</v>
      </c>
      <c r="B1336" t="s">
        <v>752</v>
      </c>
      <c r="C1336" t="str">
        <f t="shared" si="20"/>
        <v>EmailCreate a business case for ERP modernization that aligns with business goals, delineates responsibilities, defines success metrics</v>
      </c>
      <c r="D1336" t="s">
        <v>753</v>
      </c>
      <c r="E1336" t="s">
        <v>754</v>
      </c>
    </row>
    <row r="1337" spans="1:5" x14ac:dyDescent="0.35">
      <c r="A1337" t="s">
        <v>10</v>
      </c>
      <c r="B1337" t="s">
        <v>755</v>
      </c>
      <c r="C1337" t="str">
        <f t="shared" si="20"/>
        <v>EmailMove from strategy and planning to architecture and selection:</v>
      </c>
      <c r="D1337" t="s">
        <v>756</v>
      </c>
      <c r="E1337" t="s">
        <v>757</v>
      </c>
    </row>
    <row r="1338" spans="1:5" x14ac:dyDescent="0.35">
      <c r="A1338" t="s">
        <v>10</v>
      </c>
      <c r="B1338" t="s">
        <v>765</v>
      </c>
      <c r="C1338" t="str">
        <f t="shared" si="20"/>
        <v>EmailLeverage Toolkit to create a project charter for the ERP modernization project.</v>
      </c>
      <c r="D1338" t="s">
        <v>766</v>
      </c>
      <c r="E1338" t="s">
        <v>744</v>
      </c>
    </row>
    <row r="1339" spans="1:5" x14ac:dyDescent="0.35">
      <c r="A1339" t="s">
        <v>10</v>
      </c>
      <c r="B1339" t="s">
        <v>777</v>
      </c>
      <c r="C1339" t="str">
        <f t="shared" si="20"/>
        <v>EmailReview peer content and discussions.</v>
      </c>
      <c r="D1339" t="s">
        <v>778</v>
      </c>
      <c r="E1339" t="s">
        <v>779</v>
      </c>
    </row>
    <row r="1340" spans="1:5" x14ac:dyDescent="0.35">
      <c r="A1340" t="s">
        <v>10</v>
      </c>
      <c r="B1340" t="s">
        <v>783</v>
      </c>
      <c r="C1340" t="str">
        <f t="shared" si="20"/>
        <v>EmailPeer conversations.</v>
      </c>
      <c r="D1340" t="s">
        <v>784</v>
      </c>
      <c r="E1340" t="s">
        <v>779</v>
      </c>
    </row>
    <row r="1341" spans="1:5" x14ac:dyDescent="0.35">
      <c r="A1341" t="s">
        <v>10</v>
      </c>
      <c r="B1341" t="s">
        <v>791</v>
      </c>
      <c r="C1341" t="str">
        <f t="shared" si="20"/>
        <v>EmailReview research on Microsoft licensing.</v>
      </c>
      <c r="D1341" t="s">
        <v>792</v>
      </c>
      <c r="E1341" t="s">
        <v>793</v>
      </c>
    </row>
    <row r="1342" spans="1:5" x14ac:dyDescent="0.35">
      <c r="A1342" t="s">
        <v>10</v>
      </c>
      <c r="B1342" t="s">
        <v>796</v>
      </c>
      <c r="C1342" t="str">
        <f t="shared" si="20"/>
        <v>EmailContinue to leverage research for planning &amp; negotiation.</v>
      </c>
      <c r="D1342" t="s">
        <v>797</v>
      </c>
      <c r="E1342" t="s">
        <v>798</v>
      </c>
    </row>
    <row r="1343" spans="1:5" x14ac:dyDescent="0.35">
      <c r="A1343" t="s">
        <v>10</v>
      </c>
      <c r="B1343" t="s">
        <v>807</v>
      </c>
      <c r="C1343" t="str">
        <f t="shared" si="20"/>
        <v xml:space="preserve">EmailReview leadership research. Read first: </v>
      </c>
      <c r="D1343" t="s">
        <v>808</v>
      </c>
      <c r="E1343" t="s">
        <v>809</v>
      </c>
    </row>
    <row r="1344" spans="1:5" x14ac:dyDescent="0.35">
      <c r="A1344" t="s">
        <v>10</v>
      </c>
      <c r="B1344" t="s">
        <v>810</v>
      </c>
      <c r="C1344" t="str">
        <f t="shared" si="20"/>
        <v>EmailWatch the webinar replay:</v>
      </c>
      <c r="D1344" t="s">
        <v>811</v>
      </c>
      <c r="E1344" t="s">
        <v>812</v>
      </c>
    </row>
    <row r="1345" spans="1:5" x14ac:dyDescent="0.35">
      <c r="A1345" t="s">
        <v>10</v>
      </c>
      <c r="B1345" t="s">
        <v>819</v>
      </c>
      <c r="C1345" t="str">
        <f t="shared" si="20"/>
        <v xml:space="preserve">EmailWatch the webinar replay: 
</v>
      </c>
      <c r="D1345" t="s">
        <v>811</v>
      </c>
      <c r="E1345" t="s">
        <v>812</v>
      </c>
    </row>
    <row r="1346" spans="1:5" x14ac:dyDescent="0.35">
      <c r="A1346" t="s">
        <v>10</v>
      </c>
      <c r="B1346" t="s">
        <v>820</v>
      </c>
      <c r="C1346" t="str">
        <f t="shared" si="20"/>
        <v xml:space="preserve">EmailReview research on digital leadership. 
</v>
      </c>
      <c r="D1346" t="s">
        <v>808</v>
      </c>
      <c r="E1346" t="s">
        <v>821</v>
      </c>
    </row>
    <row r="1347" spans="1:5" x14ac:dyDescent="0.35">
      <c r="A1347" t="s">
        <v>10</v>
      </c>
      <c r="B1347" t="s">
        <v>827</v>
      </c>
      <c r="C1347" t="str">
        <f t="shared" ref="C1347:C1410" si="21">CONCATENATE(A1347,B1347)</f>
        <v>EmailRead about effective team leadership.</v>
      </c>
      <c r="D1347" t="s">
        <v>828</v>
      </c>
      <c r="E1347" t="s">
        <v>829</v>
      </c>
    </row>
    <row r="1348" spans="1:5" x14ac:dyDescent="0.35">
      <c r="A1348" t="s">
        <v>10</v>
      </c>
      <c r="B1348" t="s">
        <v>833</v>
      </c>
      <c r="C1348" t="str">
        <f t="shared" si="21"/>
        <v>EmailImprove team leadership skills.</v>
      </c>
      <c r="D1348" t="s">
        <v>828</v>
      </c>
      <c r="E1348" t="s">
        <v>829</v>
      </c>
    </row>
    <row r="1349" spans="1:5" x14ac:dyDescent="0.35">
      <c r="A1349" t="s">
        <v>10</v>
      </c>
      <c r="B1349" t="s">
        <v>839</v>
      </c>
      <c r="C1349" t="str">
        <f t="shared" si="21"/>
        <v>EmailPut leadership skills in to practice.</v>
      </c>
      <c r="D1349" t="s">
        <v>840</v>
      </c>
      <c r="E1349" t="s">
        <v>841</v>
      </c>
    </row>
    <row r="1350" spans="1:5" x14ac:dyDescent="0.35">
      <c r="A1350" t="s">
        <v>10</v>
      </c>
      <c r="B1350" t="s">
        <v>851</v>
      </c>
      <c r="C1350" t="str">
        <f t="shared" si="21"/>
        <v xml:space="preserve">EmailLearn about the best practices in building high-performance teams. 
</v>
      </c>
      <c r="D1350" t="s">
        <v>852</v>
      </c>
      <c r="E1350" t="s">
        <v>853</v>
      </c>
    </row>
    <row r="1351" spans="1:5" x14ac:dyDescent="0.35">
      <c r="A1351" t="s">
        <v>10</v>
      </c>
      <c r="B1351" t="s">
        <v>857</v>
      </c>
      <c r="C1351" t="str">
        <f t="shared" si="21"/>
        <v>EmailLunch and Learn: The 2019 CIO Agenda Presentation insights &amp; actions.</v>
      </c>
    </row>
    <row r="1352" spans="1:5" x14ac:dyDescent="0.35">
      <c r="A1352" t="s">
        <v>10</v>
      </c>
      <c r="B1352" t="s">
        <v>858</v>
      </c>
      <c r="C1352" t="str">
        <f t="shared" si="21"/>
        <v>EmailReview "Maverick" research</v>
      </c>
      <c r="D1352" t="s">
        <v>859</v>
      </c>
      <c r="E1352" t="s">
        <v>860</v>
      </c>
    </row>
    <row r="1353" spans="1:5" x14ac:dyDescent="0.35">
      <c r="A1353" t="s">
        <v>10</v>
      </c>
      <c r="B1353" t="s">
        <v>861</v>
      </c>
      <c r="C1353" t="str">
        <f t="shared" si="21"/>
        <v xml:space="preserve">EmailReview latest research.
</v>
      </c>
      <c r="D1353" t="s">
        <v>862</v>
      </c>
      <c r="E1353" t="s">
        <v>863</v>
      </c>
    </row>
    <row r="1354" spans="1:5" x14ac:dyDescent="0.35">
      <c r="A1354" t="s">
        <v>10</v>
      </c>
      <c r="B1354" t="s">
        <v>865</v>
      </c>
      <c r="C1354" t="str">
        <f t="shared" si="21"/>
        <v>EmailResearch highlights:</v>
      </c>
      <c r="D1354" t="s">
        <v>866</v>
      </c>
      <c r="E1354" t="s">
        <v>867</v>
      </c>
    </row>
    <row r="1355" spans="1:5" x14ac:dyDescent="0.35">
      <c r="A1355" t="s">
        <v>10</v>
      </c>
      <c r="B1355" t="s">
        <v>905</v>
      </c>
      <c r="C1355" t="str">
        <f t="shared" si="21"/>
        <v>EmailExplore research specific to maturity improvement initiatives. e.g. focus on I&amp;O</v>
      </c>
      <c r="D1355" t="s">
        <v>906</v>
      </c>
      <c r="E1355" t="s">
        <v>907</v>
      </c>
    </row>
    <row r="1356" spans="1:5" x14ac:dyDescent="0.35">
      <c r="A1356" t="s">
        <v>10</v>
      </c>
      <c r="B1356" t="s">
        <v>908</v>
      </c>
      <c r="C1356" t="str">
        <f t="shared" si="21"/>
        <v>EmailReview research.</v>
      </c>
      <c r="D1356" t="s">
        <v>909</v>
      </c>
      <c r="E1356" t="s">
        <v>910</v>
      </c>
    </row>
    <row r="1357" spans="1:5" x14ac:dyDescent="0.35">
      <c r="A1357" t="s">
        <v>10</v>
      </c>
      <c r="B1357" t="s">
        <v>915</v>
      </c>
      <c r="C1357" t="str">
        <f t="shared" si="21"/>
        <v>EmailReview report on design of new IT operating models to support digital business and in the process advance IT maturity.</v>
      </c>
      <c r="D1357" t="s">
        <v>916</v>
      </c>
      <c r="E1357" t="s">
        <v>917</v>
      </c>
    </row>
    <row r="1358" spans="1:5" x14ac:dyDescent="0.35">
      <c r="A1358" t="s">
        <v>10</v>
      </c>
      <c r="B1358" t="s">
        <v>926</v>
      </c>
      <c r="C1358" t="str">
        <f t="shared" si="21"/>
        <v xml:space="preserve">EmailReview a strategic and integrated approach to building a skilled IT workforce </v>
      </c>
      <c r="D1358" t="s">
        <v>927</v>
      </c>
      <c r="E1358" t="s">
        <v>928</v>
      </c>
    </row>
    <row r="1359" spans="1:5" x14ac:dyDescent="0.35">
      <c r="A1359" t="s">
        <v>10</v>
      </c>
      <c r="B1359" t="s">
        <v>936</v>
      </c>
      <c r="C1359" t="str">
        <f t="shared" si="21"/>
        <v>EmailTeam lunch and learn.</v>
      </c>
      <c r="D1359" t="s">
        <v>937</v>
      </c>
      <c r="E1359" t="s">
        <v>938</v>
      </c>
    </row>
    <row r="1360" spans="1:5" x14ac:dyDescent="0.35">
      <c r="A1360" t="s">
        <v>10</v>
      </c>
      <c r="B1360" t="s">
        <v>940</v>
      </c>
      <c r="C1360" t="str">
        <f t="shared" si="21"/>
        <v>EmailRevamp your professional development program.</v>
      </c>
      <c r="D1360" t="s">
        <v>941</v>
      </c>
      <c r="E1360" t="s">
        <v>942</v>
      </c>
    </row>
    <row r="1361" spans="1:5" x14ac:dyDescent="0.35">
      <c r="A1361" t="s">
        <v>10</v>
      </c>
      <c r="B1361" t="s">
        <v>943</v>
      </c>
      <c r="C1361" t="str">
        <f t="shared" si="21"/>
        <v>EmailReview new perspectives of workforce development.</v>
      </c>
      <c r="D1361" t="s">
        <v>944</v>
      </c>
      <c r="E1361" t="s">
        <v>945</v>
      </c>
    </row>
    <row r="1362" spans="1:5" x14ac:dyDescent="0.35">
      <c r="A1362" t="s">
        <v>10</v>
      </c>
      <c r="B1362" t="s">
        <v>950</v>
      </c>
      <c r="C1362" t="str">
        <f t="shared" si="21"/>
        <v>EmailExplore future opportunities.</v>
      </c>
      <c r="D1362" t="s">
        <v>951</v>
      </c>
      <c r="E1362" t="s">
        <v>952</v>
      </c>
    </row>
    <row r="1363" spans="1:5" x14ac:dyDescent="0.35">
      <c r="A1363" t="s">
        <v>10</v>
      </c>
      <c r="B1363" t="s">
        <v>960</v>
      </c>
      <c r="C1363" t="str">
        <f t="shared" si="21"/>
        <v>EmailReview culture assessment methods and how to use them.</v>
      </c>
      <c r="D1363" t="s">
        <v>961</v>
      </c>
      <c r="E1363" t="s">
        <v>962</v>
      </c>
    </row>
    <row r="1364" spans="1:5" x14ac:dyDescent="0.35">
      <c r="A1364" t="s">
        <v>10</v>
      </c>
      <c r="B1364" t="s">
        <v>970</v>
      </c>
      <c r="C1364" t="str">
        <f t="shared" si="21"/>
        <v>EmailReview peer perspectives on culture hacking.</v>
      </c>
      <c r="D1364" t="s">
        <v>971</v>
      </c>
      <c r="E1364" t="s">
        <v>972</v>
      </c>
    </row>
    <row r="1365" spans="1:5" x14ac:dyDescent="0.35">
      <c r="A1365" t="s">
        <v>10</v>
      </c>
      <c r="B1365" t="s">
        <v>974</v>
      </c>
      <c r="C1365" t="str">
        <f t="shared" si="21"/>
        <v>EmailExplore ideas from existing digital cultures.</v>
      </c>
      <c r="D1365" t="s">
        <v>975</v>
      </c>
      <c r="E1365" t="s">
        <v>976</v>
      </c>
    </row>
    <row r="1366" spans="1:5" x14ac:dyDescent="0.35">
      <c r="A1366" t="s">
        <v>10</v>
      </c>
      <c r="B1366" t="s">
        <v>978</v>
      </c>
      <c r="C1366" t="str">
        <f t="shared" si="21"/>
        <v>EmailResearch on targeting the people side of change and make culture a strength of the firm.</v>
      </c>
      <c r="D1366" t="s">
        <v>979</v>
      </c>
      <c r="E1366" t="s">
        <v>980</v>
      </c>
    </row>
    <row r="1367" spans="1:5" x14ac:dyDescent="0.35">
      <c r="A1367" t="s">
        <v>10</v>
      </c>
      <c r="B1367" t="s">
        <v>982</v>
      </c>
      <c r="C1367" t="str">
        <f t="shared" si="21"/>
        <v>EmailCreating an environment for colleagues and staff to express challenges.</v>
      </c>
      <c r="D1367" t="s">
        <v>983</v>
      </c>
      <c r="E1367" t="s">
        <v>984</v>
      </c>
    </row>
    <row r="1368" spans="1:5" x14ac:dyDescent="0.35">
      <c r="A1368" t="s">
        <v>10</v>
      </c>
      <c r="B1368" t="s">
        <v>985</v>
      </c>
      <c r="C1368" t="str">
        <f t="shared" si="21"/>
        <v xml:space="preserve">EmailDownload the free e-book "Culture in Action"  - A Leader’s Guide to Building an Organizational Culture That Performs. 
</v>
      </c>
      <c r="D1368" t="s">
        <v>986</v>
      </c>
      <c r="E1368" t="s">
        <v>987</v>
      </c>
    </row>
    <row r="1369" spans="1:5" x14ac:dyDescent="0.35">
      <c r="A1369" t="s">
        <v>10</v>
      </c>
      <c r="B1369" t="s">
        <v>992</v>
      </c>
      <c r="C1369" t="str">
        <f t="shared" si="21"/>
        <v xml:space="preserve">EmailReview foundational research. Read first: </v>
      </c>
      <c r="D1369" t="s">
        <v>993</v>
      </c>
      <c r="E1369" t="s">
        <v>994</v>
      </c>
    </row>
    <row r="1370" spans="1:5" x14ac:dyDescent="0.35">
      <c r="A1370" t="s">
        <v>10</v>
      </c>
      <c r="B1370" t="s">
        <v>999</v>
      </c>
      <c r="C1370" t="str">
        <f t="shared" si="21"/>
        <v>EmailReview research: Core security processes necessary to satisfy governance and audit requirements.</v>
      </c>
      <c r="D1370" t="s">
        <v>1000</v>
      </c>
      <c r="E1370" t="s">
        <v>1001</v>
      </c>
    </row>
    <row r="1371" spans="1:5" x14ac:dyDescent="0.35">
      <c r="A1371" t="s">
        <v>10</v>
      </c>
      <c r="B1371" t="s">
        <v>1009</v>
      </c>
      <c r="C1371" t="str">
        <f t="shared" si="21"/>
        <v>EmailTeam lunch and learn event.</v>
      </c>
      <c r="D1371" t="s">
        <v>1010</v>
      </c>
      <c r="E1371" t="s">
        <v>1011</v>
      </c>
    </row>
    <row r="1372" spans="1:5" x14ac:dyDescent="0.35">
      <c r="A1372" t="s">
        <v>10</v>
      </c>
      <c r="B1372" t="s">
        <v>1020</v>
      </c>
      <c r="C1372" t="str">
        <f t="shared" si="21"/>
        <v>EmailReview peer conversation:</v>
      </c>
      <c r="D1372" t="s">
        <v>1014</v>
      </c>
      <c r="E1372" t="s">
        <v>1015</v>
      </c>
    </row>
    <row r="1373" spans="1:5" x14ac:dyDescent="0.35">
      <c r="A1373" t="s">
        <v>10</v>
      </c>
      <c r="B1373" t="s">
        <v>1022</v>
      </c>
      <c r="C1373" t="str">
        <f t="shared" si="21"/>
        <v>EmailCreate metrics that are leading indicators with defensible causal relationships to business outcomes.</v>
      </c>
      <c r="D1373" t="s">
        <v>1023</v>
      </c>
      <c r="E1373" t="s">
        <v>1024</v>
      </c>
    </row>
    <row r="1374" spans="1:5" x14ac:dyDescent="0.35">
      <c r="A1374" t="s">
        <v>10</v>
      </c>
      <c r="B1374" t="s">
        <v>1025</v>
      </c>
      <c r="C1374" t="str">
        <f t="shared" si="21"/>
        <v>EmailReview security metrics research. Read first:</v>
      </c>
      <c r="D1374" t="s">
        <v>1026</v>
      </c>
      <c r="E1374" t="s">
        <v>1027</v>
      </c>
    </row>
    <row r="1375" spans="1:5" x14ac:dyDescent="0.35">
      <c r="A1375" t="s">
        <v>10</v>
      </c>
      <c r="B1375" t="s">
        <v>1034</v>
      </c>
      <c r="C1375" t="str">
        <f t="shared" si="21"/>
        <v>EmailRead research to improve security awareness with executives.</v>
      </c>
      <c r="D1375" t="s">
        <v>1035</v>
      </c>
      <c r="E1375" t="s">
        <v>1036</v>
      </c>
    </row>
    <row r="1376" spans="1:5" x14ac:dyDescent="0.35">
      <c r="A1376" t="s">
        <v>10</v>
      </c>
      <c r="B1376" t="s">
        <v>1048</v>
      </c>
      <c r="C1376" t="str">
        <f t="shared" si="21"/>
        <v>EmailReview research on the importance of having a cloud strategy.</v>
      </c>
      <c r="D1376" t="s">
        <v>1049</v>
      </c>
      <c r="E1376" t="s">
        <v>1050</v>
      </c>
    </row>
    <row r="1377" spans="1:5" x14ac:dyDescent="0.35">
      <c r="A1377" t="s">
        <v>10</v>
      </c>
      <c r="B1377" t="s">
        <v>1055</v>
      </c>
      <c r="C1377" t="str">
        <f t="shared" si="21"/>
        <v>EmailReview research on aligned vendors (IaaS, PaaS, SaaS, Colo, Hosting).</v>
      </c>
      <c r="D1377" t="s">
        <v>1056</v>
      </c>
      <c r="E1377" t="s">
        <v>1057</v>
      </c>
    </row>
    <row r="1378" spans="1:5" x14ac:dyDescent="0.35">
      <c r="A1378" t="s">
        <v>10</v>
      </c>
      <c r="B1378" t="s">
        <v>1059</v>
      </c>
      <c r="C1378" t="str">
        <f t="shared" si="21"/>
        <v xml:space="preserve">EmailReview research on current trends in I&amp;O - on moving away from Data-Centers towards 
 colocation, hosting and the cloud. </v>
      </c>
      <c r="D1378" t="s">
        <v>1060</v>
      </c>
      <c r="E1378" t="s">
        <v>1061</v>
      </c>
    </row>
    <row r="1379" spans="1:5" x14ac:dyDescent="0.35">
      <c r="A1379" t="s">
        <v>10</v>
      </c>
      <c r="B1379" t="s">
        <v>1072</v>
      </c>
      <c r="C1379" t="str">
        <f t="shared" si="21"/>
        <v xml:space="preserve">EmailReview best practices to securely leverage Cloud. Align current policies with best practices.  </v>
      </c>
      <c r="D1379" t="s">
        <v>1073</v>
      </c>
      <c r="E1379" t="s">
        <v>1074</v>
      </c>
    </row>
    <row r="1380" spans="1:5" x14ac:dyDescent="0.35">
      <c r="A1380" t="s">
        <v>10</v>
      </c>
      <c r="B1380" t="s">
        <v>1080</v>
      </c>
      <c r="C1380" t="str">
        <f t="shared" si="21"/>
        <v>EmailRead research on making governance more adaptable.</v>
      </c>
      <c r="D1380" t="s">
        <v>1081</v>
      </c>
      <c r="E1380" t="s">
        <v>1082</v>
      </c>
    </row>
    <row r="1381" spans="1:5" x14ac:dyDescent="0.35">
      <c r="A1381" t="s">
        <v>10</v>
      </c>
      <c r="B1381" t="s">
        <v>1084</v>
      </c>
      <c r="C1381" t="str">
        <f t="shared" si="21"/>
        <v xml:space="preserve">EmailLunch &amp; Learn replay on how to adapt IT Governance to meet current &amp; future demands for digital. </v>
      </c>
      <c r="D1381" t="s">
        <v>1085</v>
      </c>
      <c r="E1381" t="s">
        <v>1086</v>
      </c>
    </row>
    <row r="1382" spans="1:5" x14ac:dyDescent="0.35">
      <c r="A1382" t="s">
        <v>10</v>
      </c>
      <c r="B1382" t="s">
        <v>1110</v>
      </c>
      <c r="C1382" t="str">
        <f t="shared" si="21"/>
        <v>EmailReview latest research.</v>
      </c>
      <c r="D1382" t="s">
        <v>1106</v>
      </c>
      <c r="E1382" t="s">
        <v>1111</v>
      </c>
    </row>
    <row r="1383" spans="1:5" x14ac:dyDescent="0.35">
      <c r="A1383" t="s">
        <v>10</v>
      </c>
      <c r="B1383" t="s">
        <v>1118</v>
      </c>
      <c r="C1383" t="str">
        <f t="shared" si="21"/>
        <v>EmailTeam Lunch and Learn:</v>
      </c>
      <c r="D1383" t="s">
        <v>1119</v>
      </c>
      <c r="E1383" t="s">
        <v>1120</v>
      </c>
    </row>
    <row r="1384" spans="1:5" x14ac:dyDescent="0.35">
      <c r="A1384" t="s">
        <v>10</v>
      </c>
      <c r="B1384" t="s">
        <v>1121</v>
      </c>
      <c r="C1384" t="str">
        <f t="shared" si="21"/>
        <v>EmailUnderstand basic design structures and engage the stakeholders.</v>
      </c>
      <c r="D1384" t="s">
        <v>1122</v>
      </c>
      <c r="E1384" t="s">
        <v>1123</v>
      </c>
    </row>
    <row r="1385" spans="1:5" x14ac:dyDescent="0.35">
      <c r="A1385" t="s">
        <v>10</v>
      </c>
      <c r="B1385" t="s">
        <v>1130</v>
      </c>
      <c r="C1385" t="str">
        <f t="shared" si="21"/>
        <v>EmailPrioritize the task of assessing your application portfolios. Read research:</v>
      </c>
      <c r="D1385" t="s">
        <v>1131</v>
      </c>
      <c r="E1385" t="s">
        <v>1132</v>
      </c>
    </row>
    <row r="1386" spans="1:5" x14ac:dyDescent="0.35">
      <c r="A1386" t="s">
        <v>10</v>
      </c>
      <c r="B1386" t="s">
        <v>1138</v>
      </c>
      <c r="C1386" t="str">
        <f t="shared" si="21"/>
        <v>EmailReview next steps research including:</v>
      </c>
      <c r="D1386" t="s">
        <v>1139</v>
      </c>
      <c r="E1386" t="s">
        <v>1140</v>
      </c>
    </row>
    <row r="1387" spans="1:5" x14ac:dyDescent="0.35">
      <c r="A1387" t="s">
        <v>10</v>
      </c>
      <c r="B1387" t="s">
        <v>1155</v>
      </c>
      <c r="C1387" t="str">
        <f t="shared" si="21"/>
        <v>EmailLunch and Learn using Security summit replay:</v>
      </c>
      <c r="D1387" t="s">
        <v>1156</v>
      </c>
      <c r="E1387" t="s">
        <v>1157</v>
      </c>
    </row>
    <row r="1388" spans="1:5" x14ac:dyDescent="0.35">
      <c r="A1388" t="s">
        <v>10</v>
      </c>
      <c r="B1388" t="s">
        <v>1163</v>
      </c>
      <c r="C1388" t="str">
        <f t="shared" si="21"/>
        <v>EmailParticipate in BCM forums.</v>
      </c>
      <c r="D1388" t="s">
        <v>1164</v>
      </c>
      <c r="E1388" t="s">
        <v>1165</v>
      </c>
    </row>
    <row r="1389" spans="1:5" x14ac:dyDescent="0.35">
      <c r="A1389" t="s">
        <v>10</v>
      </c>
      <c r="B1389" t="s">
        <v>1166</v>
      </c>
      <c r="C1389" t="str">
        <f t="shared" si="21"/>
        <v>EmailLunch and learn webinar. with supporting research.</v>
      </c>
      <c r="D1389" t="s">
        <v>1167</v>
      </c>
      <c r="E1389" t="s">
        <v>1168</v>
      </c>
    </row>
    <row r="1390" spans="1:5" x14ac:dyDescent="0.35">
      <c r="A1390" t="s">
        <v>10</v>
      </c>
      <c r="B1390" t="s">
        <v>1178</v>
      </c>
      <c r="C1390" t="str">
        <f t="shared" si="21"/>
        <v>EmailGartner insights - migrating away from on-premises data centers.</v>
      </c>
      <c r="D1390" t="s">
        <v>1060</v>
      </c>
      <c r="E1390" t="s">
        <v>1061</v>
      </c>
    </row>
    <row r="1391" spans="1:5" x14ac:dyDescent="0.35">
      <c r="A1391" t="s">
        <v>10</v>
      </c>
      <c r="B1391" t="s">
        <v>1179</v>
      </c>
      <c r="C1391" t="str">
        <f t="shared" si="21"/>
        <v xml:space="preserve">EmailLunch &amp; learn: Evolving towards Hybrid models.
</v>
      </c>
      <c r="D1391" t="s">
        <v>1180</v>
      </c>
      <c r="E1391" t="s">
        <v>1181</v>
      </c>
    </row>
    <row r="1392" spans="1:5" x14ac:dyDescent="0.35">
      <c r="A1392" t="s">
        <v>10</v>
      </c>
      <c r="B1392" t="s">
        <v>1189</v>
      </c>
      <c r="C1392" t="str">
        <f t="shared" si="21"/>
        <v>EmailPeer Insights.</v>
      </c>
      <c r="D1392" t="s">
        <v>1190</v>
      </c>
      <c r="E1392" t="s">
        <v>1191</v>
      </c>
    </row>
    <row r="1393" spans="1:5" x14ac:dyDescent="0.35">
      <c r="A1393" t="s">
        <v>10</v>
      </c>
      <c r="B1393" t="s">
        <v>1194</v>
      </c>
      <c r="C1393" t="str">
        <f t="shared" si="21"/>
        <v xml:space="preserve">EmailReview peer content. </v>
      </c>
      <c r="D1393" t="s">
        <v>1195</v>
      </c>
      <c r="E1393" t="s">
        <v>1196</v>
      </c>
    </row>
    <row r="1394" spans="1:5" x14ac:dyDescent="0.35">
      <c r="A1394" t="s">
        <v>10</v>
      </c>
      <c r="B1394" t="s">
        <v>1201</v>
      </c>
      <c r="C1394" t="str">
        <f t="shared" si="21"/>
        <v>EmailPeer content.</v>
      </c>
      <c r="D1394" t="s">
        <v>1195</v>
      </c>
      <c r="E1394" t="s">
        <v>1196</v>
      </c>
    </row>
    <row r="1395" spans="1:5" x14ac:dyDescent="0.35">
      <c r="A1395" t="s">
        <v>10</v>
      </c>
      <c r="B1395" t="s">
        <v>1202</v>
      </c>
      <c r="C1395" t="str">
        <f t="shared" si="21"/>
        <v>EmailCreate a data center scorecard.</v>
      </c>
      <c r="D1395" t="s">
        <v>1203</v>
      </c>
      <c r="E1395" t="s">
        <v>1204</v>
      </c>
    </row>
    <row r="1396" spans="1:5" x14ac:dyDescent="0.35">
      <c r="A1396" t="s">
        <v>10</v>
      </c>
      <c r="B1396" t="s">
        <v>1206</v>
      </c>
      <c r="C1396" t="str">
        <f t="shared" si="21"/>
        <v>EmailReview future perspective on transition towards a 'Digital' infrastructure model.</v>
      </c>
      <c r="D1396" t="s">
        <v>1207</v>
      </c>
      <c r="E1396" t="s">
        <v>1208</v>
      </c>
    </row>
    <row r="1397" spans="1:5" x14ac:dyDescent="0.35">
      <c r="A1397" t="s">
        <v>10</v>
      </c>
      <c r="B1397" t="s">
        <v>1209</v>
      </c>
      <c r="C1397" t="str">
        <f t="shared" si="21"/>
        <v>EmailLeverage Gartner.com to start up to date with infrastructure delivery trends.</v>
      </c>
      <c r="D1397" t="s">
        <v>8</v>
      </c>
      <c r="E1397" t="s">
        <v>1210</v>
      </c>
    </row>
    <row r="1398" spans="1:5" x14ac:dyDescent="0.35">
      <c r="A1398" t="s">
        <v>10</v>
      </c>
      <c r="B1398" t="s">
        <v>506</v>
      </c>
      <c r="C1398" t="str">
        <f t="shared" si="21"/>
        <v>EmailReview forward looking research:</v>
      </c>
      <c r="D1398" t="s">
        <v>1211</v>
      </c>
      <c r="E1398" t="s">
        <v>1212</v>
      </c>
    </row>
    <row r="1399" spans="1:5" x14ac:dyDescent="0.35">
      <c r="A1399" t="s">
        <v>10</v>
      </c>
      <c r="B1399" t="s">
        <v>1217</v>
      </c>
      <c r="C1399" t="str">
        <f t="shared" si="21"/>
        <v>EmailReview foundational research. Read first:</v>
      </c>
      <c r="D1399" t="s">
        <v>1218</v>
      </c>
      <c r="E1399" t="s">
        <v>1219</v>
      </c>
    </row>
    <row r="1400" spans="1:5" x14ac:dyDescent="0.35">
      <c r="A1400" t="s">
        <v>10</v>
      </c>
      <c r="B1400" t="s">
        <v>1243</v>
      </c>
      <c r="C1400" t="str">
        <f t="shared" si="21"/>
        <v>EmailRead research on leadership expectations to create a value-add perception of the PMO.</v>
      </c>
      <c r="D1400" t="s">
        <v>1244</v>
      </c>
      <c r="E1400" t="s">
        <v>1245</v>
      </c>
    </row>
    <row r="1401" spans="1:5" x14ac:dyDescent="0.35">
      <c r="A1401" t="s">
        <v>10</v>
      </c>
      <c r="B1401" t="s">
        <v>1260</v>
      </c>
      <c r="C1401" t="str">
        <f t="shared" si="21"/>
        <v>EmailFocus on resource capacity planning.</v>
      </c>
      <c r="D1401" t="s">
        <v>1261</v>
      </c>
      <c r="E1401" t="s">
        <v>1256</v>
      </c>
    </row>
    <row r="1402" spans="1:5" x14ac:dyDescent="0.35">
      <c r="A1402" t="s">
        <v>10</v>
      </c>
      <c r="B1402" t="s">
        <v>1277</v>
      </c>
      <c r="C1402" t="str">
        <f t="shared" si="21"/>
        <v>EmailReview recently published research:</v>
      </c>
      <c r="D1402" t="s">
        <v>6</v>
      </c>
      <c r="E1402" t="s">
        <v>1278</v>
      </c>
    </row>
    <row r="1403" spans="1:5" x14ac:dyDescent="0.35">
      <c r="A1403" t="s">
        <v>10</v>
      </c>
      <c r="B1403" t="s">
        <v>1292</v>
      </c>
      <c r="C1403" t="str">
        <f t="shared" si="21"/>
        <v>EmailLearn about major trends &amp; challenges affecting vendor management leaders &amp; best practices for delivering the highest value.</v>
      </c>
      <c r="D1403" t="s">
        <v>1293</v>
      </c>
      <c r="E1403" t="s">
        <v>1294</v>
      </c>
    </row>
    <row r="1404" spans="1:5" x14ac:dyDescent="0.35">
      <c r="A1404" t="s">
        <v>10</v>
      </c>
      <c r="B1404" t="s">
        <v>1305</v>
      </c>
      <c r="C1404" t="str">
        <f t="shared" si="21"/>
        <v>EmailReview current capabilities.</v>
      </c>
      <c r="D1404" t="s">
        <v>1306</v>
      </c>
      <c r="E1404" t="s">
        <v>1307</v>
      </c>
    </row>
    <row r="1405" spans="1:5" x14ac:dyDescent="0.35">
      <c r="A1405" t="s">
        <v>10</v>
      </c>
      <c r="B1405" t="s">
        <v>1316</v>
      </c>
      <c r="C1405" t="str">
        <f t="shared" si="21"/>
        <v>EmailRead latest research:</v>
      </c>
      <c r="D1405" t="s">
        <v>1317</v>
      </c>
      <c r="E1405" t="s">
        <v>1318</v>
      </c>
    </row>
    <row r="1406" spans="1:5" x14ac:dyDescent="0.35">
      <c r="A1406" t="s">
        <v>10</v>
      </c>
      <c r="B1406" t="s">
        <v>1323</v>
      </c>
      <c r="C1406" t="str">
        <f t="shared" si="21"/>
        <v xml:space="preserve">EmailReview foundational research on Digital Business Transformation. Read first: </v>
      </c>
      <c r="D1406" t="s">
        <v>1324</v>
      </c>
      <c r="E1406" t="s">
        <v>809</v>
      </c>
    </row>
    <row r="1407" spans="1:5" x14ac:dyDescent="0.35">
      <c r="A1407" t="s">
        <v>10</v>
      </c>
      <c r="B1407" t="s">
        <v>1328</v>
      </c>
      <c r="C1407" t="str">
        <f t="shared" si="21"/>
        <v>EmailReview research on potential starting points for digital journey.</v>
      </c>
      <c r="D1407" t="s">
        <v>1329</v>
      </c>
      <c r="E1407" t="s">
        <v>1330</v>
      </c>
    </row>
    <row r="1408" spans="1:5" x14ac:dyDescent="0.35">
      <c r="A1408" t="s">
        <v>10</v>
      </c>
      <c r="B1408" t="s">
        <v>1338</v>
      </c>
      <c r="C1408" t="str">
        <f t="shared" si="21"/>
        <v>EmailReview research on how to evolve mindsets and cultivate high digital acuity leadership to stay relevant in the digital era.</v>
      </c>
      <c r="D1408" t="s">
        <v>811</v>
      </c>
      <c r="E1408" t="s">
        <v>832</v>
      </c>
    </row>
    <row r="1409" spans="1:5" x14ac:dyDescent="0.35">
      <c r="A1409" t="s">
        <v>10</v>
      </c>
      <c r="B1409" t="s">
        <v>1339</v>
      </c>
      <c r="C1409" t="str">
        <f t="shared" si="21"/>
        <v>EmailReview research on how to take digital to the core of business irrespective of the industry you operate in.</v>
      </c>
      <c r="D1409" t="s">
        <v>1340</v>
      </c>
      <c r="E1409" t="s">
        <v>1341</v>
      </c>
    </row>
    <row r="1410" spans="1:5" x14ac:dyDescent="0.35">
      <c r="A1410" t="s">
        <v>10</v>
      </c>
      <c r="B1410" t="s">
        <v>1351</v>
      </c>
      <c r="C1410" t="str">
        <f t="shared" si="21"/>
        <v>EmailResearch on enabling the new capabilities and business models.</v>
      </c>
      <c r="D1410" t="s">
        <v>1352</v>
      </c>
      <c r="E1410" t="s">
        <v>1353</v>
      </c>
    </row>
    <row r="1411" spans="1:5" x14ac:dyDescent="0.35">
      <c r="A1411" t="s">
        <v>10</v>
      </c>
      <c r="B1411" t="s">
        <v>1357</v>
      </c>
      <c r="C1411" t="str">
        <f t="shared" ref="C1411:C1474" si="22">CONCATENATE(A1411,B1411)</f>
        <v xml:space="preserve">EmailReview research to identify behaviors and practices that pose potential barriers to digital adoption.
</v>
      </c>
      <c r="D1411" t="s">
        <v>1358</v>
      </c>
      <c r="E1411" t="s">
        <v>1359</v>
      </c>
    </row>
    <row r="1412" spans="1:5" x14ac:dyDescent="0.35">
      <c r="A1412" t="s">
        <v>10</v>
      </c>
      <c r="B1412" t="s">
        <v>1360</v>
      </c>
      <c r="C1412" t="str">
        <f t="shared" si="22"/>
        <v>EmailRead about the platforms required to enable new capabilities and business models of digital business.</v>
      </c>
      <c r="D1412" t="s">
        <v>1352</v>
      </c>
      <c r="E1412" t="s">
        <v>1353</v>
      </c>
    </row>
    <row r="1413" spans="1:5" x14ac:dyDescent="0.35">
      <c r="A1413" t="s">
        <v>10</v>
      </c>
      <c r="B1413" t="s">
        <v>1371</v>
      </c>
      <c r="C1413" t="str">
        <f t="shared" si="22"/>
        <v xml:space="preserve">EmailReview foundational research on Digital Business Transformation. Read first:  </v>
      </c>
      <c r="D1413" t="s">
        <v>1324</v>
      </c>
      <c r="E1413" t="s">
        <v>809</v>
      </c>
    </row>
    <row r="1414" spans="1:5" x14ac:dyDescent="0.35">
      <c r="A1414" t="s">
        <v>10</v>
      </c>
      <c r="B1414" t="s">
        <v>1373</v>
      </c>
      <c r="C1414" t="str">
        <f t="shared" si="22"/>
        <v xml:space="preserve">EmailLunch and Learn using Symposium Keynote replay. </v>
      </c>
      <c r="D1414" t="s">
        <v>1374</v>
      </c>
      <c r="E1414" t="s">
        <v>1374</v>
      </c>
    </row>
    <row r="1415" spans="1:5" x14ac:dyDescent="0.35">
      <c r="A1415" t="s">
        <v>10</v>
      </c>
      <c r="B1415" t="s">
        <v>1375</v>
      </c>
      <c r="C1415" t="str">
        <f t="shared" si="22"/>
        <v>EmailLunch and Learn using Symposium Keynote replay.</v>
      </c>
      <c r="D1415" t="s">
        <v>1374</v>
      </c>
      <c r="E1415" t="s">
        <v>1376</v>
      </c>
    </row>
    <row r="1416" spans="1:5" x14ac:dyDescent="0.35">
      <c r="A1416" t="s">
        <v>10</v>
      </c>
      <c r="B1416" t="s">
        <v>1377</v>
      </c>
      <c r="C1416" t="str">
        <f t="shared" si="22"/>
        <v xml:space="preserve">EmailReview CIO perspectives on digital business. 
</v>
      </c>
      <c r="D1416" t="s">
        <v>1378</v>
      </c>
      <c r="E1416" t="s">
        <v>1379</v>
      </c>
    </row>
    <row r="1417" spans="1:5" x14ac:dyDescent="0.35">
      <c r="A1417" t="s">
        <v>10</v>
      </c>
      <c r="B1417" t="s">
        <v>1388</v>
      </c>
      <c r="C1417" t="str">
        <f t="shared" si="22"/>
        <v xml:space="preserve">EmailReview disruptive technologies that will enhance trust to help scale digital. 
</v>
      </c>
      <c r="D1417" t="s">
        <v>1378</v>
      </c>
      <c r="E1417" t="s">
        <v>1379</v>
      </c>
    </row>
    <row r="1418" spans="1:5" x14ac:dyDescent="0.35">
      <c r="A1418" t="s">
        <v>10</v>
      </c>
      <c r="B1418" t="s">
        <v>1389</v>
      </c>
      <c r="C1418" t="str">
        <f t="shared" si="22"/>
        <v>EmailReview research on additional technology considerations. Read first:</v>
      </c>
      <c r="D1418" t="s">
        <v>1390</v>
      </c>
      <c r="E1418" t="s">
        <v>1379</v>
      </c>
    </row>
    <row r="1419" spans="1:5" x14ac:dyDescent="0.35">
      <c r="A1419" t="s">
        <v>10</v>
      </c>
      <c r="B1419" t="s">
        <v>1399</v>
      </c>
      <c r="C1419" t="str">
        <f t="shared" si="22"/>
        <v xml:space="preserve">EmailTalent management to scale digital. 
</v>
      </c>
      <c r="D1419" t="s">
        <v>1400</v>
      </c>
      <c r="E1419" t="s">
        <v>1401</v>
      </c>
    </row>
    <row r="1420" spans="1:5" x14ac:dyDescent="0.35">
      <c r="A1420" t="s">
        <v>10</v>
      </c>
      <c r="B1420" t="s">
        <v>1413</v>
      </c>
      <c r="C1420" t="str">
        <f t="shared" si="22"/>
        <v xml:space="preserve">EmailReview latest Smarter with Gartner articles.
</v>
      </c>
      <c r="D1420" t="s">
        <v>1414</v>
      </c>
      <c r="E1420" t="s">
        <v>1415</v>
      </c>
    </row>
    <row r="1421" spans="1:5" x14ac:dyDescent="0.35">
      <c r="A1421" t="s">
        <v>10</v>
      </c>
      <c r="B1421" t="s">
        <v>1416</v>
      </c>
      <c r="C1421" t="str">
        <f t="shared" si="22"/>
        <v>EmailReview latest Smarter with Gartner articles.</v>
      </c>
      <c r="D1421" t="s">
        <v>1414</v>
      </c>
      <c r="E1421" t="s">
        <v>1415</v>
      </c>
    </row>
    <row r="1422" spans="1:5" x14ac:dyDescent="0.35">
      <c r="A1422" t="s">
        <v>10</v>
      </c>
      <c r="B1422" t="s">
        <v>1419</v>
      </c>
      <c r="C1422" t="str">
        <f t="shared" si="22"/>
        <v>EmailRead research on how to balance risk and innovation.</v>
      </c>
      <c r="D1422" t="s">
        <v>1420</v>
      </c>
      <c r="E1422" t="s">
        <v>219</v>
      </c>
    </row>
    <row r="1423" spans="1:5" x14ac:dyDescent="0.35">
      <c r="A1423" t="s">
        <v>10</v>
      </c>
      <c r="B1423" t="s">
        <v>1425</v>
      </c>
      <c r="C1423" t="str">
        <f t="shared" si="22"/>
        <v>EmailReview use cases.</v>
      </c>
      <c r="D1423" t="s">
        <v>1426</v>
      </c>
      <c r="E1423" t="s">
        <v>1427</v>
      </c>
    </row>
    <row r="1424" spans="1:5" x14ac:dyDescent="0.35">
      <c r="A1424" t="s">
        <v>10</v>
      </c>
      <c r="B1424" t="s">
        <v>1442</v>
      </c>
      <c r="C1424" t="str">
        <f t="shared" si="22"/>
        <v>EmailReview peer conversations</v>
      </c>
      <c r="D1424" t="s">
        <v>1443</v>
      </c>
      <c r="E1424" t="s">
        <v>1444</v>
      </c>
    </row>
    <row r="1425" spans="1:5" x14ac:dyDescent="0.35">
      <c r="A1425" t="s">
        <v>10</v>
      </c>
      <c r="B1425" t="s">
        <v>1448</v>
      </c>
      <c r="C1425" t="str">
        <f t="shared" si="22"/>
        <v>EmailReview framework for planning the next set of strategic investments.</v>
      </c>
      <c r="D1425" t="s">
        <v>1449</v>
      </c>
      <c r="E1425" t="s">
        <v>1450</v>
      </c>
    </row>
    <row r="1426" spans="1:5" x14ac:dyDescent="0.35">
      <c r="A1426" t="s">
        <v>10</v>
      </c>
      <c r="B1426" t="s">
        <v>1451</v>
      </c>
      <c r="C1426" t="str">
        <f t="shared" si="22"/>
        <v>EmailRead foundational research. Read first.</v>
      </c>
      <c r="D1426" t="s">
        <v>1452</v>
      </c>
      <c r="E1426" t="s">
        <v>1453</v>
      </c>
    </row>
    <row r="1427" spans="1:5" x14ac:dyDescent="0.35">
      <c r="A1427" t="s">
        <v>10</v>
      </c>
      <c r="B1427" t="s">
        <v>1458</v>
      </c>
      <c r="C1427" t="str">
        <f t="shared" si="22"/>
        <v>EmailLunch and learn using Symposium replay</v>
      </c>
      <c r="D1427" t="s">
        <v>1459</v>
      </c>
      <c r="E1427" t="s">
        <v>1460</v>
      </c>
    </row>
    <row r="1428" spans="1:5" x14ac:dyDescent="0.35">
      <c r="A1428" t="s">
        <v>10</v>
      </c>
      <c r="B1428" t="s">
        <v>1471</v>
      </c>
      <c r="C1428" t="str">
        <f t="shared" si="22"/>
        <v>EmailReview predicts research.</v>
      </c>
      <c r="D1428" t="s">
        <v>1472</v>
      </c>
      <c r="E1428" t="s">
        <v>1473</v>
      </c>
    </row>
    <row r="1429" spans="1:5" x14ac:dyDescent="0.35">
      <c r="A1429" t="s">
        <v>10</v>
      </c>
      <c r="B1429" t="s">
        <v>1476</v>
      </c>
      <c r="C1429" t="str">
        <f t="shared" si="22"/>
        <v>EmailRead foundational research. Read first:</v>
      </c>
      <c r="D1429" t="s">
        <v>1477</v>
      </c>
      <c r="E1429" t="s">
        <v>1478</v>
      </c>
    </row>
    <row r="1430" spans="1:5" x14ac:dyDescent="0.35">
      <c r="A1430" t="s">
        <v>10</v>
      </c>
      <c r="B1430" t="s">
        <v>1482</v>
      </c>
      <c r="C1430" t="str">
        <f t="shared" si="22"/>
        <v>EmailResearch on framework and tactics to communicate strategic planning that resonates with business stakeholders.</v>
      </c>
      <c r="D1430" t="s">
        <v>1483</v>
      </c>
      <c r="E1430" t="s">
        <v>1484</v>
      </c>
    </row>
    <row r="1431" spans="1:5" x14ac:dyDescent="0.35">
      <c r="A1431" t="s">
        <v>10</v>
      </c>
      <c r="B1431" t="s">
        <v>1485</v>
      </c>
      <c r="C1431" t="str">
        <f t="shared" si="22"/>
        <v>EmailLunch and learn.</v>
      </c>
      <c r="D1431" t="s">
        <v>1486</v>
      </c>
      <c r="E1431" t="s">
        <v>1487</v>
      </c>
    </row>
    <row r="1432" spans="1:5" x14ac:dyDescent="0.35">
      <c r="A1432" t="s">
        <v>10</v>
      </c>
      <c r="B1432" t="s">
        <v>1497</v>
      </c>
      <c r="C1432" t="str">
        <f t="shared" si="22"/>
        <v>EmailRead the EXP report.</v>
      </c>
      <c r="D1432" t="s">
        <v>1498</v>
      </c>
      <c r="E1432" t="s">
        <v>1499</v>
      </c>
    </row>
    <row r="1433" spans="1:5" x14ac:dyDescent="0.35">
      <c r="A1433" t="s">
        <v>10</v>
      </c>
      <c r="B1433" t="s">
        <v>1501</v>
      </c>
      <c r="C1433" t="str">
        <f t="shared" si="22"/>
        <v>EmailConsider options for categorizing digital business revenues.</v>
      </c>
      <c r="D1433" t="s">
        <v>1502</v>
      </c>
      <c r="E1433" t="s">
        <v>1503</v>
      </c>
    </row>
    <row r="1434" spans="1:5" x14ac:dyDescent="0.35">
      <c r="A1434" t="s">
        <v>10</v>
      </c>
      <c r="B1434" t="s">
        <v>1508</v>
      </c>
      <c r="C1434" t="str">
        <f t="shared" si="22"/>
        <v>EmailRead foundational research: Read first:</v>
      </c>
      <c r="D1434" t="s">
        <v>1509</v>
      </c>
      <c r="E1434" t="s">
        <v>1510</v>
      </c>
    </row>
    <row r="1435" spans="1:5" x14ac:dyDescent="0.35">
      <c r="A1435" t="s">
        <v>10</v>
      </c>
      <c r="B1435" t="s">
        <v>1514</v>
      </c>
      <c r="C1435" t="str">
        <f t="shared" si="22"/>
        <v>EmailLunch and learn webinar.</v>
      </c>
      <c r="D1435" t="s">
        <v>1515</v>
      </c>
      <c r="E1435" t="s">
        <v>1516</v>
      </c>
    </row>
    <row r="1436" spans="1:5" x14ac:dyDescent="0.35">
      <c r="A1436" t="s">
        <v>10</v>
      </c>
      <c r="B1436" t="s">
        <v>1527</v>
      </c>
      <c r="C1436" t="str">
        <f t="shared" si="22"/>
        <v>EmailReview opportunities for leveraging new technologies.</v>
      </c>
      <c r="D1436" t="s">
        <v>1528</v>
      </c>
      <c r="E1436" t="s">
        <v>1529</v>
      </c>
    </row>
    <row r="1437" spans="1:5" x14ac:dyDescent="0.35">
      <c r="A1437" t="s">
        <v>10</v>
      </c>
      <c r="B1437" t="s">
        <v>1547</v>
      </c>
      <c r="C1437" t="str">
        <f t="shared" si="22"/>
        <v>EmailReview Peer content.</v>
      </c>
      <c r="D1437" t="s">
        <v>1548</v>
      </c>
      <c r="E1437" t="s">
        <v>1549</v>
      </c>
    </row>
    <row r="1438" spans="1:5" x14ac:dyDescent="0.35">
      <c r="A1438" t="s">
        <v>10</v>
      </c>
      <c r="B1438" t="s">
        <v>1550</v>
      </c>
      <c r="C1438" t="str">
        <f t="shared" si="22"/>
        <v>EmailEstablish consistent status reporting.</v>
      </c>
      <c r="D1438" t="s">
        <v>1551</v>
      </c>
      <c r="E1438" t="s">
        <v>1552</v>
      </c>
    </row>
    <row r="1439" spans="1:5" x14ac:dyDescent="0.35">
      <c r="A1439" t="s">
        <v>10</v>
      </c>
      <c r="B1439" t="s">
        <v>1570</v>
      </c>
      <c r="C1439" t="str">
        <f t="shared" si="22"/>
        <v>EmailLeverage toolkit to communicate the impact of EA</v>
      </c>
      <c r="D1439" t="s">
        <v>1571</v>
      </c>
      <c r="E1439" t="s">
        <v>1572</v>
      </c>
    </row>
    <row r="1440" spans="1:5" x14ac:dyDescent="0.35">
      <c r="A1440" t="s">
        <v>10</v>
      </c>
      <c r="B1440" t="s">
        <v>1579</v>
      </c>
      <c r="C1440" t="str">
        <f t="shared" si="22"/>
        <v>EmailLunch and learn webinar to plan and present strategy to leadership, peers and teams.</v>
      </c>
      <c r="D1440" t="s">
        <v>1580</v>
      </c>
      <c r="E1440" t="s">
        <v>1581</v>
      </c>
    </row>
    <row r="1441" spans="1:5" x14ac:dyDescent="0.35">
      <c r="A1441" t="s">
        <v>10</v>
      </c>
      <c r="B1441" t="s">
        <v>1593</v>
      </c>
      <c r="C1441" t="str">
        <f t="shared" si="22"/>
        <v>EmailPlan for disruptive events.</v>
      </c>
      <c r="D1441" t="s">
        <v>1594</v>
      </c>
      <c r="E1441" t="s">
        <v>1595</v>
      </c>
    </row>
    <row r="1442" spans="1:5" x14ac:dyDescent="0.35">
      <c r="A1442" t="s">
        <v>10</v>
      </c>
      <c r="B1442" t="s">
        <v>1596</v>
      </c>
      <c r="C1442" t="str">
        <f t="shared" si="22"/>
        <v>EmailReview latest published research:</v>
      </c>
      <c r="D1442" t="s">
        <v>1597</v>
      </c>
      <c r="E1442" t="s">
        <v>1598</v>
      </c>
    </row>
    <row r="1443" spans="1:5" x14ac:dyDescent="0.35">
      <c r="A1443" t="s">
        <v>10</v>
      </c>
      <c r="B1443" t="s">
        <v>1608</v>
      </c>
      <c r="C1443" t="str">
        <f t="shared" si="22"/>
        <v>EmailGain insights on the innovations in IAM technologies.</v>
      </c>
      <c r="D1443" t="s">
        <v>1609</v>
      </c>
      <c r="E1443" t="s">
        <v>1610</v>
      </c>
    </row>
    <row r="1444" spans="1:5" x14ac:dyDescent="0.35">
      <c r="A1444" t="s">
        <v>10</v>
      </c>
      <c r="B1444" t="s">
        <v>1650</v>
      </c>
      <c r="C1444" t="str">
        <f t="shared" si="22"/>
        <v>EmailLunch and learn Symposium replay.</v>
      </c>
      <c r="D1444" t="s">
        <v>1651</v>
      </c>
      <c r="E1444" t="s">
        <v>1652</v>
      </c>
    </row>
    <row r="1445" spans="1:5" x14ac:dyDescent="0.35">
      <c r="A1445" t="s">
        <v>10</v>
      </c>
      <c r="B1445" t="s">
        <v>1662</v>
      </c>
      <c r="C1445" t="str">
        <f t="shared" si="22"/>
        <v>EmailRead Research:</v>
      </c>
      <c r="D1445" t="s">
        <v>1663</v>
      </c>
      <c r="E1445" t="s">
        <v>1664</v>
      </c>
    </row>
    <row r="1446" spans="1:5" x14ac:dyDescent="0.35">
      <c r="A1446" t="s">
        <v>10</v>
      </c>
      <c r="B1446" t="s">
        <v>1671</v>
      </c>
      <c r="C1446" t="str">
        <f t="shared" si="22"/>
        <v xml:space="preserve">EmailInquiry on encryption key management strategies to secure data assets. </v>
      </c>
      <c r="D1446" t="s">
        <v>1672</v>
      </c>
      <c r="E1446" t="s">
        <v>1673</v>
      </c>
    </row>
    <row r="1447" spans="1:5" x14ac:dyDescent="0.35">
      <c r="A1447" t="s">
        <v>10</v>
      </c>
      <c r="B1447" t="s">
        <v>1674</v>
      </c>
      <c r="C1447" t="str">
        <f t="shared" si="22"/>
        <v>EmailReview research for insights to strengthen security initiatives for DevOps, applications and data sets</v>
      </c>
      <c r="D1447" t="s">
        <v>1675</v>
      </c>
      <c r="E1447" t="s">
        <v>1676</v>
      </c>
    </row>
    <row r="1448" spans="1:5" x14ac:dyDescent="0.35">
      <c r="A1448" t="s">
        <v>10</v>
      </c>
      <c r="B1448" t="s">
        <v>1680</v>
      </c>
      <c r="C1448" t="str">
        <f t="shared" si="22"/>
        <v>EmailReview research on sensitive data classification and handling.</v>
      </c>
      <c r="D1448" t="s">
        <v>1681</v>
      </c>
      <c r="E1448" t="s">
        <v>1682</v>
      </c>
    </row>
    <row r="1449" spans="1:5" x14ac:dyDescent="0.35">
      <c r="A1449" t="s">
        <v>10</v>
      </c>
      <c r="B1449" t="s">
        <v>1690</v>
      </c>
      <c r="C1449" t="str">
        <f t="shared" si="22"/>
        <v>EmailReview research on how to face a ransomware-dominated landscape for 2018</v>
      </c>
      <c r="D1449" t="s">
        <v>1691</v>
      </c>
      <c r="E1449" t="s">
        <v>1692</v>
      </c>
    </row>
    <row r="1450" spans="1:5" x14ac:dyDescent="0.35">
      <c r="A1450" t="s">
        <v>10</v>
      </c>
      <c r="B1450" t="s">
        <v>1698</v>
      </c>
      <c r="C1450" t="str">
        <f t="shared" si="22"/>
        <v>EmailInquiry on Spectre and Meltdown, a new class of vulnerabilities and how to protect against them.</v>
      </c>
      <c r="D1450" t="s">
        <v>1699</v>
      </c>
      <c r="E1450" t="s">
        <v>1700</v>
      </c>
    </row>
    <row r="1451" spans="1:5" x14ac:dyDescent="0.35">
      <c r="A1451" t="s">
        <v>10</v>
      </c>
      <c r="B1451" t="s">
        <v>1704</v>
      </c>
      <c r="C1451" t="str">
        <f t="shared" si="22"/>
        <v>EmailLeverage research to craft the most important security metrics.</v>
      </c>
      <c r="D1451" t="s">
        <v>1705</v>
      </c>
      <c r="E1451" t="s">
        <v>1706</v>
      </c>
    </row>
    <row r="1452" spans="1:5" x14ac:dyDescent="0.35">
      <c r="A1452" t="s">
        <v>10</v>
      </c>
      <c r="B1452" t="s">
        <v>1707</v>
      </c>
      <c r="C1452" t="str">
        <f t="shared" si="22"/>
        <v>EmailResearch on how to proactively manage Cybersecurity and digital risk.</v>
      </c>
      <c r="D1452" t="s">
        <v>1708</v>
      </c>
      <c r="E1452" t="s">
        <v>1709</v>
      </c>
    </row>
    <row r="1453" spans="1:5" x14ac:dyDescent="0.35">
      <c r="A1453" t="s">
        <v>10</v>
      </c>
      <c r="B1453" t="s">
        <v>1711</v>
      </c>
      <c r="C1453" t="str">
        <f t="shared" si="22"/>
        <v xml:space="preserve">EmailReview research to develop a network design framework. </v>
      </c>
      <c r="D1453" t="s">
        <v>1712</v>
      </c>
      <c r="E1453" t="s">
        <v>1713</v>
      </c>
    </row>
    <row r="1454" spans="1:5" x14ac:dyDescent="0.35">
      <c r="A1454" t="s">
        <v>10</v>
      </c>
      <c r="B1454" t="s">
        <v>1722</v>
      </c>
      <c r="C1454" t="str">
        <f t="shared" si="22"/>
        <v>EmailLeverage research to focus on expanding WAN connectivity, and improved network agility.</v>
      </c>
      <c r="D1454" t="s">
        <v>1723</v>
      </c>
      <c r="E1454" t="s">
        <v>1724</v>
      </c>
    </row>
    <row r="1455" spans="1:5" x14ac:dyDescent="0.35">
      <c r="A1455" t="s">
        <v>10</v>
      </c>
      <c r="B1455" t="s">
        <v>1731</v>
      </c>
      <c r="C1455" t="str">
        <f t="shared" si="22"/>
        <v xml:space="preserve">EmailResearch on how to use managed SD-WAN services to improve network agility. </v>
      </c>
      <c r="D1455" t="s">
        <v>1732</v>
      </c>
      <c r="E1455" t="s">
        <v>1733</v>
      </c>
    </row>
    <row r="1456" spans="1:5" x14ac:dyDescent="0.35">
      <c r="A1456" t="s">
        <v>10</v>
      </c>
      <c r="B1456" t="s">
        <v>1746</v>
      </c>
      <c r="C1456" t="str">
        <f t="shared" si="22"/>
        <v>EmailResearch on worst practices in enterprise networks and how to mitigate them.</v>
      </c>
      <c r="D1456" t="s">
        <v>1747</v>
      </c>
      <c r="E1456" t="s">
        <v>1748</v>
      </c>
    </row>
    <row r="1457" spans="1:5" x14ac:dyDescent="0.35">
      <c r="A1457" t="s">
        <v>10</v>
      </c>
      <c r="B1457" t="s">
        <v>1753</v>
      </c>
      <c r="C1457" t="str">
        <f t="shared" si="22"/>
        <v>EmailAssess key internal factors that can impact your ability to disrupt or react to disruption.</v>
      </c>
      <c r="D1457" t="s">
        <v>1754</v>
      </c>
      <c r="E1457" t="s">
        <v>1755</v>
      </c>
    </row>
    <row r="1458" spans="1:5" x14ac:dyDescent="0.35">
      <c r="A1458" t="s">
        <v>10</v>
      </c>
      <c r="B1458" t="s">
        <v>1773</v>
      </c>
      <c r="C1458" t="str">
        <f t="shared" si="22"/>
        <v>EmailUnderstand the misconceptions to avoid confusion.</v>
      </c>
      <c r="D1458" t="s">
        <v>1774</v>
      </c>
      <c r="E1458" t="s">
        <v>1768</v>
      </c>
    </row>
    <row r="1459" spans="1:5" x14ac:dyDescent="0.35">
      <c r="A1459" t="s">
        <v>10</v>
      </c>
      <c r="B1459" t="s">
        <v>1775</v>
      </c>
      <c r="C1459" t="str">
        <f t="shared" si="22"/>
        <v>EmailLunch and learn session on how to mitigate threats and capture growth opportunities from disruptive innovation.</v>
      </c>
      <c r="D1459" t="s">
        <v>1776</v>
      </c>
      <c r="E1459" t="s">
        <v>1777</v>
      </c>
    </row>
    <row r="1460" spans="1:5" x14ac:dyDescent="0.35">
      <c r="A1460" t="s">
        <v>10</v>
      </c>
      <c r="B1460" t="s">
        <v>1778</v>
      </c>
      <c r="C1460" t="str">
        <f t="shared" si="22"/>
        <v>EmailReview "Willful Disruption" research.</v>
      </c>
      <c r="D1460" t="s">
        <v>1779</v>
      </c>
      <c r="E1460" t="s">
        <v>1780</v>
      </c>
    </row>
    <row r="1461" spans="1:5" x14ac:dyDescent="0.35">
      <c r="A1461" t="s">
        <v>10</v>
      </c>
      <c r="B1461" t="s">
        <v>1797</v>
      </c>
      <c r="C1461" t="str">
        <f t="shared" si="22"/>
        <v>EmailReview research for insights on data and information safety:</v>
      </c>
      <c r="D1461" t="s">
        <v>1798</v>
      </c>
      <c r="E1461" t="s">
        <v>1799</v>
      </c>
    </row>
    <row r="1462" spans="1:5" x14ac:dyDescent="0.35">
      <c r="A1462" t="s">
        <v>10</v>
      </c>
      <c r="B1462" t="s">
        <v>1808</v>
      </c>
      <c r="C1462" t="str">
        <f t="shared" si="22"/>
        <v>EmailLunch and Learn</v>
      </c>
      <c r="D1462" t="s">
        <v>1809</v>
      </c>
      <c r="E1462" t="s">
        <v>1810</v>
      </c>
    </row>
    <row r="1463" spans="1:5" x14ac:dyDescent="0.35">
      <c r="A1463" t="s">
        <v>10</v>
      </c>
      <c r="B1463" t="s">
        <v>1812</v>
      </c>
      <c r="C1463" t="str">
        <f t="shared" si="22"/>
        <v>EmailRead:</v>
      </c>
      <c r="D1463" t="s">
        <v>1705</v>
      </c>
      <c r="E1463" t="s">
        <v>1706</v>
      </c>
    </row>
    <row r="1464" spans="1:5" x14ac:dyDescent="0.35">
      <c r="A1464" t="s">
        <v>10</v>
      </c>
      <c r="B1464" t="s">
        <v>1824</v>
      </c>
      <c r="C1464" t="str">
        <f t="shared" si="22"/>
        <v>EmailRead about Agile environments and their benefits:</v>
      </c>
      <c r="D1464" t="s">
        <v>1825</v>
      </c>
      <c r="E1464" t="s">
        <v>1826</v>
      </c>
    </row>
    <row r="1465" spans="1:5" x14ac:dyDescent="0.35">
      <c r="A1465" t="s">
        <v>10</v>
      </c>
      <c r="B1465" t="s">
        <v>1831</v>
      </c>
      <c r="C1465" t="str">
        <f t="shared" si="22"/>
        <v>EmailReview newly published research.</v>
      </c>
      <c r="D1465" t="s">
        <v>1832</v>
      </c>
      <c r="E1465" t="s">
        <v>1833</v>
      </c>
    </row>
    <row r="1466" spans="1:5" x14ac:dyDescent="0.35">
      <c r="A1466" t="s">
        <v>10</v>
      </c>
      <c r="B1466" t="s">
        <v>1872</v>
      </c>
      <c r="C1466" t="str">
        <f t="shared" si="22"/>
        <v>EmailResearch on assessing tools that best support business objectives.</v>
      </c>
      <c r="D1466" t="s">
        <v>1873</v>
      </c>
      <c r="E1466" t="s">
        <v>1874</v>
      </c>
    </row>
    <row r="1467" spans="1:5" x14ac:dyDescent="0.35">
      <c r="A1467" t="s">
        <v>10</v>
      </c>
      <c r="B1467" t="s">
        <v>1892</v>
      </c>
      <c r="C1467" t="str">
        <f t="shared" si="22"/>
        <v>EmailReview research to identify the changes on the horizon.</v>
      </c>
      <c r="D1467" t="s">
        <v>1893</v>
      </c>
      <c r="E1467" t="s">
        <v>1894</v>
      </c>
    </row>
    <row r="1468" spans="1:5" x14ac:dyDescent="0.35">
      <c r="A1468" t="s">
        <v>10</v>
      </c>
      <c r="B1468" t="s">
        <v>1902</v>
      </c>
      <c r="C1468" t="str">
        <f t="shared" si="22"/>
        <v>EmailReview HBR Article.</v>
      </c>
      <c r="D1468" t="s">
        <v>1903</v>
      </c>
      <c r="E1468" t="s">
        <v>1904</v>
      </c>
    </row>
    <row r="1469" spans="1:5" x14ac:dyDescent="0.35">
      <c r="A1469" t="s">
        <v>10</v>
      </c>
      <c r="B1469" t="s">
        <v>1912</v>
      </c>
      <c r="C1469" t="str">
        <f t="shared" si="22"/>
        <v>EmailExplore devops and continuous delivery as an essential part of agile success.</v>
      </c>
      <c r="D1469" t="s">
        <v>1913</v>
      </c>
      <c r="E1469" t="s">
        <v>1914</v>
      </c>
    </row>
    <row r="1470" spans="1:5" x14ac:dyDescent="0.35">
      <c r="A1470" t="s">
        <v>10</v>
      </c>
      <c r="B1470" t="s">
        <v>1922</v>
      </c>
      <c r="C1470" t="str">
        <f t="shared" si="22"/>
        <v>EmailTeam lunch and learn - Symposium replay:</v>
      </c>
      <c r="D1470" t="s">
        <v>1923</v>
      </c>
      <c r="E1470" t="s">
        <v>1924</v>
      </c>
    </row>
    <row r="1471" spans="1:5" x14ac:dyDescent="0.35">
      <c r="A1471" t="s">
        <v>10</v>
      </c>
      <c r="B1471" t="s">
        <v>1943</v>
      </c>
      <c r="C1471" t="str">
        <f t="shared" si="22"/>
        <v>EmailReview forward thinking research.</v>
      </c>
      <c r="D1471" t="s">
        <v>1944</v>
      </c>
      <c r="E1471" t="s">
        <v>1945</v>
      </c>
    </row>
    <row r="1472" spans="1:5" x14ac:dyDescent="0.35">
      <c r="A1472" t="s">
        <v>10</v>
      </c>
      <c r="B1472" t="s">
        <v>1946</v>
      </c>
      <c r="C1472" t="str">
        <f t="shared" si="22"/>
        <v xml:space="preserve">EmailRead: </v>
      </c>
      <c r="D1472" t="s">
        <v>1947</v>
      </c>
      <c r="E1472" t="s">
        <v>1948</v>
      </c>
    </row>
    <row r="1473" spans="1:5" x14ac:dyDescent="0.35">
      <c r="A1473" t="s">
        <v>10</v>
      </c>
      <c r="B1473" t="s">
        <v>1953</v>
      </c>
      <c r="C1473" t="str">
        <f t="shared" si="22"/>
        <v>EmailLunch and learn using Symposium replay.</v>
      </c>
      <c r="D1473" t="s">
        <v>1954</v>
      </c>
      <c r="E1473" t="s">
        <v>1955</v>
      </c>
    </row>
    <row r="1474" spans="1:5" x14ac:dyDescent="0.35">
      <c r="A1474" t="s">
        <v>10</v>
      </c>
      <c r="B1474" t="s">
        <v>1960</v>
      </c>
      <c r="C1474" t="str">
        <f t="shared" si="22"/>
        <v xml:space="preserve">EmailRead about use cases on emerging technologies in Retail CX and workplace environment changes: </v>
      </c>
      <c r="D1474" t="s">
        <v>1961</v>
      </c>
      <c r="E1474" t="s">
        <v>1962</v>
      </c>
    </row>
    <row r="1475" spans="1:5" x14ac:dyDescent="0.35">
      <c r="A1475" t="s">
        <v>10</v>
      </c>
      <c r="B1475" t="s">
        <v>1973</v>
      </c>
      <c r="C1475" t="str">
        <f t="shared" ref="C1475:C1538" si="23">CONCATENATE(A1475,B1475)</f>
        <v>EmailReview research on emerging technologies.</v>
      </c>
      <c r="D1475" t="s">
        <v>1971</v>
      </c>
      <c r="E1475" t="s">
        <v>1974</v>
      </c>
    </row>
    <row r="1476" spans="1:5" x14ac:dyDescent="0.35">
      <c r="A1476" t="s">
        <v>10</v>
      </c>
      <c r="B1476" t="s">
        <v>1982</v>
      </c>
      <c r="C1476" t="str">
        <f t="shared" si="23"/>
        <v xml:space="preserve">EmailReview recently published research: </v>
      </c>
      <c r="D1476" t="s">
        <v>1983</v>
      </c>
      <c r="E1476" t="s">
        <v>1984</v>
      </c>
    </row>
    <row r="1477" spans="1:5" x14ac:dyDescent="0.35">
      <c r="A1477" t="s">
        <v>10</v>
      </c>
      <c r="B1477" t="s">
        <v>1990</v>
      </c>
      <c r="C1477" t="str">
        <f t="shared" si="23"/>
        <v>EmailLunch and learn Gartner Webinar</v>
      </c>
      <c r="D1477" t="s">
        <v>557</v>
      </c>
      <c r="E1477" t="s">
        <v>1991</v>
      </c>
    </row>
    <row r="1478" spans="1:5" x14ac:dyDescent="0.35">
      <c r="A1478" t="s">
        <v>10</v>
      </c>
      <c r="B1478" t="s">
        <v>1992</v>
      </c>
      <c r="C1478" t="str">
        <f t="shared" si="23"/>
        <v>EmailDevelop persuasion skills.</v>
      </c>
      <c r="D1478" t="s">
        <v>1993</v>
      </c>
      <c r="E1478" t="s">
        <v>1994</v>
      </c>
    </row>
    <row r="1479" spans="1:5" x14ac:dyDescent="0.35">
      <c r="A1479" t="s">
        <v>10</v>
      </c>
      <c r="B1479" t="s">
        <v>2005</v>
      </c>
      <c r="C1479" t="str">
        <f t="shared" si="23"/>
        <v>EmailMoving your management approach from push to passion.</v>
      </c>
      <c r="D1479" t="s">
        <v>2006</v>
      </c>
      <c r="E1479" t="s">
        <v>2007</v>
      </c>
    </row>
    <row r="1480" spans="1:5" x14ac:dyDescent="0.35">
      <c r="A1480" t="s">
        <v>10</v>
      </c>
      <c r="B1480" t="s">
        <v>2008</v>
      </c>
      <c r="C1480" t="str">
        <f t="shared" si="23"/>
        <v>EmailReview</v>
      </c>
      <c r="D1480" t="s">
        <v>2009</v>
      </c>
      <c r="E1480" t="s">
        <v>2007</v>
      </c>
    </row>
    <row r="1481" spans="1:5" x14ac:dyDescent="0.35">
      <c r="A1481" t="s">
        <v>10</v>
      </c>
      <c r="B1481" t="s">
        <v>2013</v>
      </c>
      <c r="C1481" t="str">
        <f t="shared" si="23"/>
        <v xml:space="preserve">EmailTeam lunch and learn - Symposium replay: </v>
      </c>
      <c r="D1481" t="s">
        <v>1923</v>
      </c>
      <c r="E1481" t="s">
        <v>1924</v>
      </c>
    </row>
    <row r="1482" spans="1:5" x14ac:dyDescent="0.35">
      <c r="A1482" t="s">
        <v>10</v>
      </c>
      <c r="B1482" t="s">
        <v>2026</v>
      </c>
      <c r="C1482" t="str">
        <f t="shared" si="23"/>
        <v>EmailReview forward thinking research:</v>
      </c>
      <c r="D1482" t="s">
        <v>2027</v>
      </c>
      <c r="E1482" t="s">
        <v>2028</v>
      </c>
    </row>
    <row r="1483" spans="1:5" x14ac:dyDescent="0.35">
      <c r="A1483" t="s">
        <v>10</v>
      </c>
      <c r="B1483" t="s">
        <v>2032</v>
      </c>
      <c r="C1483" t="str">
        <f t="shared" si="23"/>
        <v>EmailMap out an initial set of activities needed to start the Strategy development process.</v>
      </c>
      <c r="D1483" t="s">
        <v>2033</v>
      </c>
      <c r="E1483" t="s">
        <v>453</v>
      </c>
    </row>
    <row r="1484" spans="1:5" x14ac:dyDescent="0.35">
      <c r="A1484" t="s">
        <v>10</v>
      </c>
      <c r="B1484" t="s">
        <v>2040</v>
      </c>
      <c r="C1484" t="str">
        <f t="shared" si="23"/>
        <v>EmailLeverage Gartner templates</v>
      </c>
      <c r="D1484" t="s">
        <v>2041</v>
      </c>
      <c r="E1484" t="s">
        <v>475</v>
      </c>
    </row>
    <row r="1485" spans="1:5" x14ac:dyDescent="0.35">
      <c r="A1485" t="s">
        <v>10</v>
      </c>
      <c r="B1485" t="s">
        <v>2050</v>
      </c>
      <c r="C1485" t="str">
        <f t="shared" si="23"/>
        <v>EmailDevelop your brand story and plan to cultivate the new IT brand across the organization.</v>
      </c>
      <c r="D1485" t="s">
        <v>1996</v>
      </c>
      <c r="E1485" t="s">
        <v>1997</v>
      </c>
    </row>
    <row r="1486" spans="1:5" x14ac:dyDescent="0.35">
      <c r="A1486" t="s">
        <v>10</v>
      </c>
      <c r="B1486" t="s">
        <v>2053</v>
      </c>
      <c r="C1486" t="str">
        <f t="shared" si="23"/>
        <v>EmailLeverage ITBudget results an input to business performance metrics design</v>
      </c>
      <c r="D1486" t="s">
        <v>554</v>
      </c>
      <c r="E1486" t="s">
        <v>552</v>
      </c>
    </row>
    <row r="1487" spans="1:5" x14ac:dyDescent="0.35">
      <c r="A1487" t="s">
        <v>10</v>
      </c>
      <c r="B1487" t="s">
        <v>2067</v>
      </c>
      <c r="C1487" t="str">
        <f t="shared" si="23"/>
        <v>EmailReview peer converstions.</v>
      </c>
      <c r="D1487" t="s">
        <v>2068</v>
      </c>
      <c r="E1487" t="s">
        <v>2069</v>
      </c>
    </row>
    <row r="1488" spans="1:5" x14ac:dyDescent="0.35">
      <c r="A1488" t="s">
        <v>10</v>
      </c>
      <c r="B1488" t="s">
        <v>2072</v>
      </c>
      <c r="C1488" t="str">
        <f t="shared" si="23"/>
        <v>EmailReview recently published sourcing and procurement research.</v>
      </c>
      <c r="D1488" t="s">
        <v>2073</v>
      </c>
      <c r="E1488" t="s">
        <v>2074</v>
      </c>
    </row>
    <row r="1489" spans="1:5" x14ac:dyDescent="0.35">
      <c r="A1489" t="s">
        <v>10</v>
      </c>
      <c r="B1489" t="s">
        <v>2081</v>
      </c>
      <c r="C1489" t="str">
        <f t="shared" si="23"/>
        <v>EmailTeam lunch and learn on the pitfalls to avoid.</v>
      </c>
      <c r="D1489" t="s">
        <v>2082</v>
      </c>
      <c r="E1489" t="s">
        <v>2083</v>
      </c>
    </row>
    <row r="1490" spans="1:5" x14ac:dyDescent="0.35">
      <c r="A1490" t="s">
        <v>10</v>
      </c>
      <c r="B1490" t="s">
        <v>2093</v>
      </c>
      <c r="C1490" t="str">
        <f t="shared" si="23"/>
        <v>EmailLeverage RFP toolkit to facilitate the selection process.</v>
      </c>
      <c r="D1490" t="s">
        <v>2094</v>
      </c>
      <c r="E1490" t="s">
        <v>2095</v>
      </c>
    </row>
    <row r="1491" spans="1:5" x14ac:dyDescent="0.35">
      <c r="A1491" t="s">
        <v>10</v>
      </c>
      <c r="B1491" t="s">
        <v>2098</v>
      </c>
      <c r="C1491" t="str">
        <f t="shared" si="23"/>
        <v>EmailReview Gartner Peer Insights ratings and reviews of SAM tools.</v>
      </c>
      <c r="D1491" t="s">
        <v>2099</v>
      </c>
      <c r="E1491" t="s">
        <v>2100</v>
      </c>
    </row>
    <row r="1492" spans="1:5" x14ac:dyDescent="0.35">
      <c r="A1492" t="s">
        <v>10</v>
      </c>
      <c r="B1492" t="s">
        <v>2107</v>
      </c>
      <c r="C1492" t="str">
        <f t="shared" si="23"/>
        <v>EmailRead research on delivering robust, effective hardware asset management.</v>
      </c>
      <c r="D1492" t="s">
        <v>2108</v>
      </c>
      <c r="E1492" t="s">
        <v>2109</v>
      </c>
    </row>
    <row r="1493" spans="1:5" x14ac:dyDescent="0.35">
      <c r="A1493" t="s">
        <v>10</v>
      </c>
      <c r="B1493" t="s">
        <v>2110</v>
      </c>
      <c r="C1493" t="str">
        <f t="shared" si="23"/>
        <v>EmailReview latest research on IT Asset Management.</v>
      </c>
      <c r="D1493" t="s">
        <v>2111</v>
      </c>
      <c r="E1493" t="s">
        <v>2112</v>
      </c>
    </row>
    <row r="1494" spans="1:5" x14ac:dyDescent="0.35">
      <c r="A1494" t="s">
        <v>10</v>
      </c>
      <c r="B1494" t="s">
        <v>2120</v>
      </c>
      <c r="C1494" t="str">
        <f t="shared" si="23"/>
        <v>EmailReview discussions and templates on peer connect for modernizing and stabilizing I&amp;O in the organization.</v>
      </c>
      <c r="D1494" t="s">
        <v>2121</v>
      </c>
      <c r="E1494" t="s">
        <v>2122</v>
      </c>
    </row>
    <row r="1495" spans="1:5" x14ac:dyDescent="0.35">
      <c r="A1495" t="s">
        <v>10</v>
      </c>
      <c r="B1495" t="s">
        <v>2128</v>
      </c>
      <c r="C1495" t="str">
        <f t="shared" si="23"/>
        <v xml:space="preserve">EmailLunch and learn for the team - Symposium replay: </v>
      </c>
      <c r="D1495" t="s">
        <v>2129</v>
      </c>
      <c r="E1495" t="s">
        <v>2130</v>
      </c>
    </row>
    <row r="1496" spans="1:5" x14ac:dyDescent="0.35">
      <c r="A1496" t="s">
        <v>10</v>
      </c>
      <c r="B1496" t="s">
        <v>2137</v>
      </c>
      <c r="C1496" t="str">
        <f t="shared" si="23"/>
        <v>EmailUnderstand the key challenges in I&amp;O modernization and how to mitigate them.</v>
      </c>
      <c r="D1496" t="s">
        <v>2138</v>
      </c>
      <c r="E1496" t="s">
        <v>2139</v>
      </c>
    </row>
    <row r="1497" spans="1:5" x14ac:dyDescent="0.35">
      <c r="A1497" t="s">
        <v>10</v>
      </c>
      <c r="B1497" t="s">
        <v>2147</v>
      </c>
      <c r="C1497" t="str">
        <f t="shared" si="23"/>
        <v>EmailReview supporting research around the need to consolidate or standardize business functions.</v>
      </c>
      <c r="D1497" t="s">
        <v>2148</v>
      </c>
      <c r="E1497" t="s">
        <v>2149</v>
      </c>
    </row>
    <row r="1498" spans="1:5" x14ac:dyDescent="0.35">
      <c r="A1498" t="s">
        <v>10</v>
      </c>
      <c r="B1498" t="s">
        <v>2156</v>
      </c>
      <c r="C1498" t="str">
        <f t="shared" si="23"/>
        <v>EmailUnderstand the pros and cons of application standardization for consideration in portfolio review and rationalization.</v>
      </c>
      <c r="D1498" t="s">
        <v>2157</v>
      </c>
      <c r="E1498" t="s">
        <v>2158</v>
      </c>
    </row>
    <row r="1499" spans="1:5" x14ac:dyDescent="0.35">
      <c r="A1499" t="s">
        <v>10</v>
      </c>
      <c r="B1499" t="s">
        <v>2178</v>
      </c>
      <c r="C1499" t="str">
        <f t="shared" si="23"/>
        <v>EmailNavigating the complexities of Data Management.</v>
      </c>
      <c r="D1499" t="s">
        <v>2179</v>
      </c>
      <c r="E1499" t="s">
        <v>2180</v>
      </c>
    </row>
    <row r="1500" spans="1:5" x14ac:dyDescent="0.35">
      <c r="A1500" t="s">
        <v>10</v>
      </c>
      <c r="B1500" t="s">
        <v>2184</v>
      </c>
      <c r="C1500" t="str">
        <f t="shared" si="23"/>
        <v>EmailReview case studies of finalists on how to create a modernized information infrastructure that delivers flexibility and scalability.</v>
      </c>
      <c r="D1500" t="s">
        <v>2185</v>
      </c>
      <c r="E1500" t="s">
        <v>2186</v>
      </c>
    </row>
    <row r="1501" spans="1:5" x14ac:dyDescent="0.35">
      <c r="A1501" t="s">
        <v>10</v>
      </c>
      <c r="B1501" t="s">
        <v>2194</v>
      </c>
      <c r="C1501" t="str">
        <f t="shared" si="23"/>
        <v>EmailReview the impact of AI on data infrastructure and best practices for data storage.</v>
      </c>
      <c r="D1501" t="s">
        <v>2195</v>
      </c>
      <c r="E1501" t="s">
        <v>2196</v>
      </c>
    </row>
    <row r="1502" spans="1:5" x14ac:dyDescent="0.35">
      <c r="A1502" t="s">
        <v>10</v>
      </c>
      <c r="B1502" t="s">
        <v>2203</v>
      </c>
      <c r="C1502" t="str">
        <f t="shared" si="23"/>
        <v>EmailResearch on Gartner's three rings model to simplify data classification.</v>
      </c>
      <c r="D1502" t="s">
        <v>2204</v>
      </c>
      <c r="E1502" t="s">
        <v>2205</v>
      </c>
    </row>
    <row r="1503" spans="1:5" x14ac:dyDescent="0.35">
      <c r="A1503" t="s">
        <v>10</v>
      </c>
      <c r="B1503" t="s">
        <v>2206</v>
      </c>
      <c r="C1503" t="str">
        <f t="shared" si="23"/>
        <v xml:space="preserve">EmailResearch on identifying specific root-cause roadblocks to data management achievements. </v>
      </c>
      <c r="D1503" t="s">
        <v>2207</v>
      </c>
      <c r="E1503" t="s">
        <v>2208</v>
      </c>
    </row>
    <row r="1504" spans="1:5" x14ac:dyDescent="0.35">
      <c r="A1504" t="s">
        <v>10</v>
      </c>
      <c r="B1504" t="s">
        <v>2251</v>
      </c>
      <c r="C1504" t="str">
        <f t="shared" si="23"/>
        <v>EmailDevelop a list of vendors with the capabilities required to deliver on the medium term strategy.</v>
      </c>
      <c r="D1504" t="s">
        <v>1437</v>
      </c>
      <c r="E1504" t="s">
        <v>1438</v>
      </c>
    </row>
    <row r="1505" spans="1:5" x14ac:dyDescent="0.35">
      <c r="A1505" t="s">
        <v>10</v>
      </c>
      <c r="B1505" t="s">
        <v>2254</v>
      </c>
      <c r="C1505" t="str">
        <f t="shared" si="23"/>
        <v>EmailExamples of Smart city implementation.</v>
      </c>
      <c r="D1505" t="s">
        <v>2255</v>
      </c>
      <c r="E1505" t="s">
        <v>2256</v>
      </c>
    </row>
    <row r="1506" spans="1:5" x14ac:dyDescent="0.35">
      <c r="A1506" t="s">
        <v>10</v>
      </c>
      <c r="B1506" t="s">
        <v>2260</v>
      </c>
      <c r="C1506" t="str">
        <f t="shared" si="23"/>
        <v>EmailReview research on role of IoT in Smart city projects:</v>
      </c>
      <c r="D1506" t="s">
        <v>2261</v>
      </c>
      <c r="E1506" t="s">
        <v>2262</v>
      </c>
    </row>
    <row r="1507" spans="1:5" x14ac:dyDescent="0.35">
      <c r="A1507" t="s">
        <v>10</v>
      </c>
      <c r="B1507" t="s">
        <v>2275</v>
      </c>
      <c r="C1507" t="str">
        <f t="shared" si="23"/>
        <v xml:space="preserve">EmailTeam lunch and learn using webinar replay. 
</v>
      </c>
      <c r="D1507" t="s">
        <v>2276</v>
      </c>
      <c r="E1507" t="s">
        <v>2277</v>
      </c>
    </row>
    <row r="1508" spans="1:5" x14ac:dyDescent="0.35">
      <c r="A1508" t="s">
        <v>10</v>
      </c>
      <c r="B1508" t="s">
        <v>2286</v>
      </c>
      <c r="C1508" t="str">
        <f t="shared" si="23"/>
        <v xml:space="preserve">EmailTeam lunch and learn using webinar replay.   
</v>
      </c>
      <c r="D1508" t="s">
        <v>2287</v>
      </c>
      <c r="E1508" t="s">
        <v>2288</v>
      </c>
    </row>
    <row r="1509" spans="1:5" x14ac:dyDescent="0.35">
      <c r="A1509" t="s">
        <v>10</v>
      </c>
      <c r="B1509" t="s">
        <v>2291</v>
      </c>
      <c r="C1509" t="str">
        <f t="shared" si="23"/>
        <v>EmailEmail Research:</v>
      </c>
      <c r="D1509" t="s">
        <v>2292</v>
      </c>
      <c r="E1509" t="s">
        <v>2293</v>
      </c>
    </row>
    <row r="1510" spans="1:5" x14ac:dyDescent="0.35">
      <c r="A1510" t="s">
        <v>10</v>
      </c>
      <c r="B1510" t="s">
        <v>2294</v>
      </c>
      <c r="C1510" t="str">
        <f t="shared" si="23"/>
        <v>EmailPeer Conversations</v>
      </c>
      <c r="D1510" t="s">
        <v>2295</v>
      </c>
      <c r="E1510" t="s">
        <v>2296</v>
      </c>
    </row>
    <row r="1511" spans="1:5" x14ac:dyDescent="0.35">
      <c r="A1511" t="s">
        <v>10</v>
      </c>
      <c r="B1511" t="s">
        <v>2302</v>
      </c>
      <c r="C1511" t="str">
        <f t="shared" si="23"/>
        <v>EmailLunch &amp; learn Event replay analyzing the organizational implications of the intersection of information, technology and business.</v>
      </c>
      <c r="D1511" t="s">
        <v>2303</v>
      </c>
      <c r="E1511" t="s">
        <v>46</v>
      </c>
    </row>
    <row r="1512" spans="1:5" x14ac:dyDescent="0.35">
      <c r="A1512" t="s">
        <v>10</v>
      </c>
      <c r="B1512" t="s">
        <v>2306</v>
      </c>
      <c r="C1512" t="str">
        <f t="shared" si="23"/>
        <v>EmailReview foundational research on Renewing the IT Organizational model:</v>
      </c>
      <c r="D1512" t="s">
        <v>34</v>
      </c>
      <c r="E1512" t="s">
        <v>35</v>
      </c>
    </row>
    <row r="1513" spans="1:5" x14ac:dyDescent="0.35">
      <c r="A1513" t="s">
        <v>10</v>
      </c>
      <c r="B1513" t="s">
        <v>2318</v>
      </c>
      <c r="C1513" t="str">
        <f t="shared" si="23"/>
        <v>EmailReview foundational research on Digital Business Transformation. Leverage the CEB roadmap and approach to drive the process.</v>
      </c>
      <c r="D1513" t="s">
        <v>2319</v>
      </c>
      <c r="E1513" t="s">
        <v>2320</v>
      </c>
    </row>
    <row r="1514" spans="1:5" x14ac:dyDescent="0.35">
      <c r="A1514" t="s">
        <v>10</v>
      </c>
      <c r="B1514" t="s">
        <v>2325</v>
      </c>
      <c r="C1514" t="str">
        <f t="shared" si="23"/>
        <v>EmailDiscuss what board level communications is needed. Review the 15 board-ready presentations &amp; identify those that can be used for upcoming meetings.</v>
      </c>
      <c r="D1514" t="s">
        <v>2326</v>
      </c>
      <c r="E1514" t="s">
        <v>2327</v>
      </c>
    </row>
    <row r="1515" spans="1:5" x14ac:dyDescent="0.35">
      <c r="A1515" t="s">
        <v>10</v>
      </c>
      <c r="B1515" t="s">
        <v>2328</v>
      </c>
      <c r="C1515" t="str">
        <f t="shared" si="23"/>
        <v>EmailLook at the behaviors and practices inherent to your organization and identify any that pose potential barriers to digital adoption.</v>
      </c>
      <c r="D1515" t="s">
        <v>1358</v>
      </c>
      <c r="E1515" t="s">
        <v>1359</v>
      </c>
    </row>
    <row r="1516" spans="1:5" x14ac:dyDescent="0.35">
      <c r="A1516" t="s">
        <v>10</v>
      </c>
      <c r="B1516" t="s">
        <v>2329</v>
      </c>
      <c r="C1516" t="str">
        <f t="shared" si="23"/>
        <v xml:space="preserve">EmailAnalyze dependencies across strategy, business models &amp; operating models. Use intelligent design to ensure dependencies do not create constraints. </v>
      </c>
      <c r="D1516" t="s">
        <v>1366</v>
      </c>
      <c r="E1516" t="s">
        <v>1367</v>
      </c>
    </row>
    <row r="1517" spans="1:5" x14ac:dyDescent="0.35">
      <c r="A1517" t="s">
        <v>10</v>
      </c>
      <c r="B1517" t="s">
        <v>2338</v>
      </c>
      <c r="C1517" t="str">
        <f t="shared" si="23"/>
        <v>EmailOur analysts and your Executive Partner will signpost research that has been written to help you to respond to the ITScore assessments.</v>
      </c>
      <c r="D1517" t="s">
        <v>912</v>
      </c>
      <c r="E1517" t="s">
        <v>2339</v>
      </c>
    </row>
    <row r="1518" spans="1:5" x14ac:dyDescent="0.35">
      <c r="A1518" t="s">
        <v>10</v>
      </c>
      <c r="B1518" t="s">
        <v>2343</v>
      </c>
      <c r="C1518" t="str">
        <f t="shared" si="23"/>
        <v>EmailReview research designed to help you create a maturity roadmap for each of the 14 functional areas covered in the ITScore process. Examples include:</v>
      </c>
      <c r="D1518" t="s">
        <v>2344</v>
      </c>
      <c r="E1518" t="s">
        <v>920</v>
      </c>
    </row>
    <row r="1519" spans="1:5" x14ac:dyDescent="0.35">
      <c r="A1519" t="s">
        <v>10</v>
      </c>
      <c r="B1519" t="s">
        <v>2354</v>
      </c>
      <c r="C1519" t="str">
        <f t="shared" si="23"/>
        <v>EmailSet targets for unit costs (cost per user) and staffing ratios, using this toolkit:</v>
      </c>
      <c r="D1519" t="s">
        <v>667</v>
      </c>
      <c r="E1519" t="s">
        <v>668</v>
      </c>
    </row>
    <row r="1520" spans="1:5" x14ac:dyDescent="0.35">
      <c r="A1520" t="s">
        <v>10</v>
      </c>
      <c r="B1520" t="s">
        <v>2356</v>
      </c>
      <c r="C1520" t="str">
        <f t="shared" si="23"/>
        <v xml:space="preserve">EmailUse this toolkit to explore ideas that have worked quickly and effectively in other businesses: </v>
      </c>
      <c r="D1520" t="s">
        <v>680</v>
      </c>
      <c r="E1520" t="s">
        <v>2357</v>
      </c>
    </row>
    <row r="1521" spans="1:5" x14ac:dyDescent="0.35">
      <c r="A1521" t="s">
        <v>10</v>
      </c>
      <c r="B1521" t="s">
        <v>2367</v>
      </c>
      <c r="C1521" t="str">
        <f t="shared" si="23"/>
        <v>EmailReview foundational research on IT Strategy:</v>
      </c>
      <c r="D1521" t="s">
        <v>2321</v>
      </c>
      <c r="E1521" t="s">
        <v>2322</v>
      </c>
    </row>
    <row r="1522" spans="1:5" x14ac:dyDescent="0.35">
      <c r="A1522" t="s">
        <v>10</v>
      </c>
      <c r="B1522" t="s">
        <v>2368</v>
      </c>
      <c r="C1522" t="str">
        <f t="shared" si="23"/>
        <v>EmailUse ITScore for Strategy &amp; Execution to assess the IT organization's ability to run like a business, partner with the business &amp; execute on strategy.</v>
      </c>
      <c r="D1522" t="s">
        <v>422</v>
      </c>
      <c r="E1522" t="s">
        <v>461</v>
      </c>
    </row>
    <row r="1523" spans="1:5" x14ac:dyDescent="0.35">
      <c r="A1523" t="s">
        <v>10</v>
      </c>
      <c r="B1523" t="s">
        <v>2369</v>
      </c>
      <c r="C1523" t="str">
        <f t="shared" si="23"/>
        <v>EmailLunch &amp; learn webinar -Position I&amp;T at the heart of enterprise strategy. Build key capabilities in your organization to ensure strategy effectiveness.</v>
      </c>
      <c r="D1523" t="s">
        <v>2370</v>
      </c>
      <c r="E1523" t="s">
        <v>2371</v>
      </c>
    </row>
    <row r="1524" spans="1:5" x14ac:dyDescent="0.35">
      <c r="A1524" t="s">
        <v>10</v>
      </c>
      <c r="B1524" t="s">
        <v>2372</v>
      </c>
      <c r="C1524" t="str">
        <f t="shared" si="23"/>
        <v>EmailReview Gartner Strategy Templates</v>
      </c>
      <c r="D1524" t="s">
        <v>473</v>
      </c>
      <c r="E1524" t="s">
        <v>474</v>
      </c>
    </row>
    <row r="1525" spans="1:5" x14ac:dyDescent="0.35">
      <c r="A1525" t="s">
        <v>10</v>
      </c>
      <c r="B1525" t="s">
        <v>2374</v>
      </c>
      <c r="C1525" t="str">
        <f t="shared" si="23"/>
        <v>EmailUse available tools and templates to build your IT strategic plan.</v>
      </c>
      <c r="D1525" t="s">
        <v>2375</v>
      </c>
      <c r="E1525" t="s">
        <v>2315</v>
      </c>
    </row>
    <row r="1526" spans="1:5" x14ac:dyDescent="0.35">
      <c r="A1526" t="s">
        <v>10</v>
      </c>
      <c r="B1526" t="s">
        <v>2380</v>
      </c>
      <c r="C1526" t="str">
        <f t="shared" si="23"/>
        <v>EmailLeverage scenario planning to test strategic assumptions against different, challenging conditions and to prepare suitable responses.</v>
      </c>
      <c r="D1526" t="s">
        <v>2381</v>
      </c>
      <c r="E1526" t="s">
        <v>500</v>
      </c>
    </row>
    <row r="1527" spans="1:5" x14ac:dyDescent="0.35">
      <c r="A1527" t="s">
        <v>10</v>
      </c>
      <c r="B1527" t="s">
        <v>2384</v>
      </c>
      <c r="C1527" t="str">
        <f t="shared" si="23"/>
        <v>EmailReview foundational research on I&amp;T Operating models.</v>
      </c>
      <c r="D1527" t="s">
        <v>2385</v>
      </c>
      <c r="E1527" t="s">
        <v>415</v>
      </c>
    </row>
    <row r="1528" spans="1:5" x14ac:dyDescent="0.35">
      <c r="A1528" t="s">
        <v>10</v>
      </c>
      <c r="B1528" t="s">
        <v>2386</v>
      </c>
      <c r="C1528" t="str">
        <f t="shared" si="23"/>
        <v>EmailTake this assessment to evaluate IT's contribution to business strategy and the effectiveness of its operating model in realizing enterprise goals.</v>
      </c>
      <c r="D1528" t="s">
        <v>422</v>
      </c>
      <c r="E1528" t="s">
        <v>423</v>
      </c>
    </row>
    <row r="1529" spans="1:5" x14ac:dyDescent="0.35">
      <c r="A1529" t="s">
        <v>10</v>
      </c>
      <c r="B1529" t="s">
        <v>2391</v>
      </c>
      <c r="C1529" t="str">
        <f t="shared" si="23"/>
        <v>EmailReview patterns for alternative operating models.</v>
      </c>
      <c r="D1529" t="s">
        <v>432</v>
      </c>
      <c r="E1529" t="s">
        <v>433</v>
      </c>
    </row>
    <row r="1530" spans="1:5" x14ac:dyDescent="0.35">
      <c r="A1530" t="s">
        <v>10</v>
      </c>
      <c r="B1530" t="s">
        <v>2393</v>
      </c>
      <c r="C1530" t="str">
        <f t="shared" si="23"/>
        <v>EmailTeam lunch &amp; learn webinar covering how to design and build your new operating model.</v>
      </c>
      <c r="D1530" t="s">
        <v>2394</v>
      </c>
      <c r="E1530" t="s">
        <v>2395</v>
      </c>
    </row>
    <row r="1531" spans="1:5" x14ac:dyDescent="0.35">
      <c r="A1531" t="s">
        <v>10</v>
      </c>
      <c r="B1531" t="s">
        <v>2399</v>
      </c>
      <c r="C1531" t="str">
        <f t="shared" si="23"/>
        <v xml:space="preserve">EmailReview case studies on how leading companies have redesigned their I&amp;T Operating Model.
</v>
      </c>
      <c r="D1531" t="s">
        <v>444</v>
      </c>
      <c r="E1531" t="s">
        <v>445</v>
      </c>
    </row>
    <row r="1532" spans="1:5" x14ac:dyDescent="0.35">
      <c r="A1532" t="s">
        <v>10</v>
      </c>
      <c r="B1532" t="s">
        <v>2401</v>
      </c>
      <c r="C1532" t="str">
        <f t="shared" si="23"/>
        <v>EmailDevelop an innovation charter that defines the scope of the innovation effort, success metrics and goals.</v>
      </c>
      <c r="D1532" t="s">
        <v>615</v>
      </c>
      <c r="E1532" t="s">
        <v>612</v>
      </c>
    </row>
    <row r="1533" spans="1:5" x14ac:dyDescent="0.35">
      <c r="A1533" t="s">
        <v>10</v>
      </c>
      <c r="B1533" t="s">
        <v>2406</v>
      </c>
      <c r="C1533" t="str">
        <f t="shared" si="23"/>
        <v>EmailTeam lunch and learn Symposium replay:</v>
      </c>
      <c r="D1533" t="s">
        <v>2407</v>
      </c>
      <c r="E1533" t="s">
        <v>622</v>
      </c>
    </row>
    <row r="1534" spans="1:5" x14ac:dyDescent="0.35">
      <c r="A1534" t="s">
        <v>10</v>
      </c>
      <c r="B1534" t="s">
        <v>2409</v>
      </c>
      <c r="C1534" t="str">
        <f t="shared" si="23"/>
        <v>EmailUse approaches from start ups:</v>
      </c>
      <c r="D1534" t="s">
        <v>631</v>
      </c>
      <c r="E1534" t="s">
        <v>632</v>
      </c>
    </row>
    <row r="1535" spans="1:5" x14ac:dyDescent="0.35">
      <c r="A1535" t="s">
        <v>10</v>
      </c>
      <c r="B1535" t="s">
        <v>2411</v>
      </c>
      <c r="C1535" t="str">
        <f t="shared" si="23"/>
        <v>EmailReview best practices implemented by technology-risk-aggressive innovators. Find 3-5 that should be instilled.</v>
      </c>
      <c r="D1535" t="s">
        <v>638</v>
      </c>
      <c r="E1535" t="s">
        <v>648</v>
      </c>
    </row>
    <row r="1536" spans="1:5" x14ac:dyDescent="0.35">
      <c r="A1536" t="s">
        <v>10</v>
      </c>
      <c r="B1536" t="s">
        <v>2426</v>
      </c>
      <c r="C1536" t="str">
        <f t="shared" si="23"/>
        <v xml:space="preserve">EmailTeam lunch and learn Symposium replay: 
</v>
      </c>
      <c r="D1536" t="s">
        <v>523</v>
      </c>
      <c r="E1536" t="s">
        <v>520</v>
      </c>
    </row>
    <row r="1537" spans="1:5" x14ac:dyDescent="0.35">
      <c r="A1537" t="s">
        <v>10</v>
      </c>
      <c r="B1537" t="s">
        <v>2430</v>
      </c>
      <c r="C1537" t="str">
        <f t="shared" si="23"/>
        <v>EmailLunch &amp; Learn event replay. Hear recommendations from our analysts on how to adapt IT Governance to meet current &amp; future demands for digital.</v>
      </c>
      <c r="D1537" t="s">
        <v>2431</v>
      </c>
      <c r="E1537" t="s">
        <v>1086</v>
      </c>
    </row>
    <row r="1538" spans="1:5" x14ac:dyDescent="0.35">
      <c r="A1538" t="s">
        <v>10</v>
      </c>
      <c r="B1538" t="s">
        <v>2432</v>
      </c>
      <c r="C1538" t="str">
        <f t="shared" si="23"/>
        <v>EmailReview CEB Research:</v>
      </c>
      <c r="D1538" t="s">
        <v>2433</v>
      </c>
      <c r="E1538" t="s">
        <v>2434</v>
      </c>
    </row>
    <row r="1539" spans="1:5" x14ac:dyDescent="0.35">
      <c r="A1539" t="s">
        <v>10</v>
      </c>
      <c r="B1539" t="s">
        <v>2435</v>
      </c>
      <c r="C1539" t="str">
        <f t="shared" ref="C1539:C1602" si="24">CONCATENATE(A1539,B1539)</f>
        <v>EmailReview research on establishing fundamentals that improve or initiate governance, focusing on the elements most critical to delivering value.</v>
      </c>
      <c r="D1539" t="s">
        <v>2436</v>
      </c>
      <c r="E1539" t="s">
        <v>2437</v>
      </c>
    </row>
    <row r="1540" spans="1:5" x14ac:dyDescent="0.35">
      <c r="A1540" t="s">
        <v>10</v>
      </c>
      <c r="B1540" t="s">
        <v>2443</v>
      </c>
      <c r="C1540" t="str">
        <f t="shared" si="24"/>
        <v>EmailExplore how CIOs should develop central functions to improve responsiveness and alignment with enterprises’ digital priorities.</v>
      </c>
      <c r="D1540" t="s">
        <v>2444</v>
      </c>
      <c r="E1540" t="s">
        <v>2445</v>
      </c>
    </row>
    <row r="1541" spans="1:5" x14ac:dyDescent="0.35">
      <c r="A1541" t="s">
        <v>10</v>
      </c>
      <c r="B1541" t="s">
        <v>2451</v>
      </c>
      <c r="C1541" t="str">
        <f t="shared" si="24"/>
        <v>EmailReview research: Future trends in Data Management.</v>
      </c>
      <c r="D1541" t="s">
        <v>2452</v>
      </c>
      <c r="E1541" t="s">
        <v>2453</v>
      </c>
    </row>
    <row r="1542" spans="1:5" x14ac:dyDescent="0.35">
      <c r="A1542" t="s">
        <v>10</v>
      </c>
      <c r="B1542" t="s">
        <v>2458</v>
      </c>
      <c r="C1542" t="str">
        <f t="shared" si="24"/>
        <v>EmailReview forward-looking research.</v>
      </c>
      <c r="D1542" t="s">
        <v>121</v>
      </c>
      <c r="E1542" t="s">
        <v>2459</v>
      </c>
    </row>
    <row r="1543" spans="1:5" x14ac:dyDescent="0.35">
      <c r="A1543" t="s">
        <v>10</v>
      </c>
      <c r="B1543" t="s">
        <v>2463</v>
      </c>
      <c r="C1543" t="str">
        <f t="shared" si="24"/>
        <v xml:space="preserve">EmailTake a graduated approach to governing, sharing and managing information.
</v>
      </c>
      <c r="D1543" t="s">
        <v>350</v>
      </c>
      <c r="E1543" t="s">
        <v>2464</v>
      </c>
    </row>
    <row r="1544" spans="1:5" x14ac:dyDescent="0.35">
      <c r="A1544" t="s">
        <v>10</v>
      </c>
      <c r="B1544" t="s">
        <v>2484</v>
      </c>
      <c r="C1544" t="str">
        <f t="shared" si="24"/>
        <v xml:space="preserve">EmailLunch and Learn webinar that introduces a framework for creating a cloud strategy that supports the IT strategy and links to value components. 
</v>
      </c>
      <c r="D1544" t="s">
        <v>2485</v>
      </c>
      <c r="E1544" t="s">
        <v>2486</v>
      </c>
    </row>
    <row r="1545" spans="1:5" x14ac:dyDescent="0.35">
      <c r="A1545" t="s">
        <v>10</v>
      </c>
      <c r="B1545" t="s">
        <v>2492</v>
      </c>
      <c r="C1545" t="str">
        <f t="shared" si="24"/>
        <v>EmailReview impact of movement to cloud on the structure, missions, and roles of and within IT organizations.</v>
      </c>
      <c r="D1545" t="s">
        <v>2119</v>
      </c>
      <c r="E1545" t="s">
        <v>1068</v>
      </c>
    </row>
    <row r="1546" spans="1:5" x14ac:dyDescent="0.35">
      <c r="A1546" t="s">
        <v>10</v>
      </c>
      <c r="B1546" t="s">
        <v>2493</v>
      </c>
      <c r="C1546" t="str">
        <f t="shared" si="24"/>
        <v>EmailReview research on current trends in I&amp;O - on moving away from Data-Centers towards moving workloads to colocation, hosting and the cloud.</v>
      </c>
      <c r="D1546" t="s">
        <v>1060</v>
      </c>
      <c r="E1546" t="s">
        <v>1061</v>
      </c>
    </row>
    <row r="1547" spans="1:5" x14ac:dyDescent="0.35">
      <c r="A1547" t="s">
        <v>10</v>
      </c>
      <c r="B1547" t="s">
        <v>2497</v>
      </c>
      <c r="C1547" t="str">
        <f t="shared" si="24"/>
        <v>EmailIdentify and communicate talent risks and the importance of emerging skills to execution success.</v>
      </c>
      <c r="D1547" t="s">
        <v>2498</v>
      </c>
      <c r="E1547" t="s">
        <v>2499</v>
      </c>
    </row>
    <row r="1548" spans="1:5" x14ac:dyDescent="0.35">
      <c r="A1548" t="s">
        <v>10</v>
      </c>
      <c r="B1548" t="s">
        <v>2519</v>
      </c>
      <c r="C1548" t="str">
        <f t="shared" si="24"/>
        <v>EmailRead research on improving self-awareness and ability to regulate own emotions.</v>
      </c>
      <c r="D1548" t="s">
        <v>2520</v>
      </c>
      <c r="E1548" t="s">
        <v>2521</v>
      </c>
    </row>
    <row r="1549" spans="1:5" x14ac:dyDescent="0.35">
      <c r="A1549" t="s">
        <v>10</v>
      </c>
      <c r="B1549" t="s">
        <v>2531</v>
      </c>
      <c r="C1549" t="str">
        <f t="shared" si="24"/>
        <v>EmailResearch Review:</v>
      </c>
      <c r="D1549" t="s">
        <v>2532</v>
      </c>
      <c r="E1549" t="s">
        <v>367</v>
      </c>
    </row>
    <row r="1550" spans="1:5" x14ac:dyDescent="0.35">
      <c r="A1550" t="s">
        <v>10</v>
      </c>
      <c r="B1550" t="s">
        <v>2540</v>
      </c>
      <c r="C1550" t="str">
        <f t="shared" si="24"/>
        <v>EmailGartner on demand webinar replay:</v>
      </c>
      <c r="D1550" t="s">
        <v>2541</v>
      </c>
      <c r="E1550" t="s">
        <v>2542</v>
      </c>
    </row>
    <row r="1551" spans="1:5" x14ac:dyDescent="0.35">
      <c r="A1551" t="s">
        <v>10</v>
      </c>
      <c r="B1551" t="s">
        <v>2546</v>
      </c>
      <c r="C1551" t="str">
        <f t="shared" si="24"/>
        <v>EmailLunch &amp; learn webinar: What level of adoption artificial intelligence has reached? How you should prepare for artificial intelligence? Case studies.</v>
      </c>
      <c r="D1551" t="s">
        <v>2547</v>
      </c>
      <c r="E1551" t="s">
        <v>370</v>
      </c>
    </row>
    <row r="1552" spans="1:5" x14ac:dyDescent="0.35">
      <c r="A1552" t="s">
        <v>10</v>
      </c>
      <c r="B1552" t="s">
        <v>2553</v>
      </c>
      <c r="C1552" t="str">
        <f t="shared" si="24"/>
        <v>EmailForward-looking research:</v>
      </c>
      <c r="D1552" t="s">
        <v>121</v>
      </c>
      <c r="E1552" t="s">
        <v>2459</v>
      </c>
    </row>
    <row r="1553" spans="1:5" x14ac:dyDescent="0.35">
      <c r="A1553" t="s">
        <v>10</v>
      </c>
      <c r="B1553" t="s">
        <v>2557</v>
      </c>
      <c r="C1553" t="str">
        <f t="shared" si="24"/>
        <v>EmailLeverage gartner.com to stay abreast of the latest insights.</v>
      </c>
      <c r="D1553" t="s">
        <v>1</v>
      </c>
      <c r="E1553" t="s">
        <v>276</v>
      </c>
    </row>
    <row r="1554" spans="1:5" x14ac:dyDescent="0.35">
      <c r="A1554" t="s">
        <v>10</v>
      </c>
      <c r="B1554" t="s">
        <v>2558</v>
      </c>
      <c r="C1554" t="str">
        <f t="shared" si="24"/>
        <v>EmailReview alternate perspectives on Artificial Intelligence.</v>
      </c>
      <c r="D1554" t="s">
        <v>2529</v>
      </c>
      <c r="E1554" t="s">
        <v>364</v>
      </c>
    </row>
    <row r="1555" spans="1:5" x14ac:dyDescent="0.35">
      <c r="A1555" t="s">
        <v>10</v>
      </c>
      <c r="B1555" t="s">
        <v>2566</v>
      </c>
      <c r="C1555" t="str">
        <f t="shared" si="24"/>
        <v>EmailReview tactical responses to the evolving threat landscape.</v>
      </c>
      <c r="D1555" t="s">
        <v>1691</v>
      </c>
      <c r="E1555" t="s">
        <v>2567</v>
      </c>
    </row>
    <row r="1556" spans="1:5" x14ac:dyDescent="0.35">
      <c r="A1556" t="s">
        <v>10</v>
      </c>
      <c r="B1556" t="s">
        <v>2571</v>
      </c>
      <c r="C1556" t="str">
        <f t="shared" si="24"/>
        <v>Email Leverage Gartner tools to assess and visualize project value.</v>
      </c>
      <c r="D1556" t="s">
        <v>2572</v>
      </c>
      <c r="E1556" t="s">
        <v>2573</v>
      </c>
    </row>
    <row r="1557" spans="1:5" x14ac:dyDescent="0.35">
      <c r="A1557" t="s">
        <v>10</v>
      </c>
      <c r="B1557" t="s">
        <v>2596</v>
      </c>
      <c r="C1557" t="str">
        <f t="shared" si="24"/>
        <v xml:space="preserve">EmailHold a lunch and learn session using Symposium replay. 
</v>
      </c>
      <c r="D1557" t="s">
        <v>1918</v>
      </c>
      <c r="E1557" t="s">
        <v>2597</v>
      </c>
    </row>
    <row r="1558" spans="1:5" x14ac:dyDescent="0.35">
      <c r="A1558" t="s">
        <v>10</v>
      </c>
      <c r="B1558" t="s">
        <v>2600</v>
      </c>
      <c r="C1558" t="str">
        <f t="shared" si="24"/>
        <v xml:space="preserve">EmailRecognize the most common causes of DevOps failures and understand how to avoid these pitfalls.
</v>
      </c>
      <c r="D1558" t="s">
        <v>2601</v>
      </c>
      <c r="E1558" t="s">
        <v>215</v>
      </c>
    </row>
    <row r="1559" spans="1:5" x14ac:dyDescent="0.35">
      <c r="A1559" t="s">
        <v>10</v>
      </c>
      <c r="B1559" t="s">
        <v>2612</v>
      </c>
      <c r="C1559" t="str">
        <f t="shared" si="24"/>
        <v>EmailDesign a leadership competency self assessment to help senior leaders identify areas needing improvement and create an action plan for development.</v>
      </c>
      <c r="D1559" t="s">
        <v>2613</v>
      </c>
      <c r="E1559" t="s">
        <v>2614</v>
      </c>
    </row>
    <row r="1560" spans="1:5" x14ac:dyDescent="0.35">
      <c r="A1560" t="s">
        <v>10</v>
      </c>
      <c r="B1560" t="s">
        <v>2616</v>
      </c>
      <c r="C1560" t="str">
        <f t="shared" si="24"/>
        <v>EmailBroaden the sources of IT leadership talent. Design development experiences that enrich IT successor networks and build key competencies.</v>
      </c>
      <c r="D1560" t="s">
        <v>2617</v>
      </c>
      <c r="E1560" t="s">
        <v>2618</v>
      </c>
    </row>
    <row r="1561" spans="1:5" x14ac:dyDescent="0.35">
      <c r="A1561" t="s">
        <v>10</v>
      </c>
      <c r="B1561" t="s">
        <v>2623</v>
      </c>
      <c r="C1561" t="str">
        <f t="shared" si="24"/>
        <v>EmailLunch and learn webinar. This session looks at the why and how of developing Emotional Intelligence in yourself and your teams.</v>
      </c>
      <c r="D1561" t="s">
        <v>2624</v>
      </c>
      <c r="E1561" t="s">
        <v>2625</v>
      </c>
    </row>
    <row r="1562" spans="1:5" x14ac:dyDescent="0.35">
      <c r="A1562" t="s">
        <v>10</v>
      </c>
      <c r="B1562" t="s">
        <v>2634</v>
      </c>
      <c r="C1562" t="str">
        <f t="shared" si="24"/>
        <v>EmailReview foundational M&amp;A research:</v>
      </c>
      <c r="D1562" t="s">
        <v>570</v>
      </c>
      <c r="E1562" t="s">
        <v>571</v>
      </c>
    </row>
    <row r="1563" spans="1:5" x14ac:dyDescent="0.35">
      <c r="A1563" t="s">
        <v>10</v>
      </c>
      <c r="B1563" t="s">
        <v>2646</v>
      </c>
      <c r="C1563" t="str">
        <f t="shared" si="24"/>
        <v xml:space="preserve">EmailBased on the assessment results, create a realistic plan for what needs to be accomplished, by whom and when. </v>
      </c>
      <c r="D1563" t="s">
        <v>2647</v>
      </c>
      <c r="E1563" t="s">
        <v>2648</v>
      </c>
    </row>
    <row r="1564" spans="1:5" x14ac:dyDescent="0.35">
      <c r="A1564" t="s">
        <v>10</v>
      </c>
      <c r="B1564" t="s">
        <v>2653</v>
      </c>
      <c r="C1564" t="str">
        <f t="shared" si="24"/>
        <v>EmailLearn about major trends &amp; challenges affecting sourcing, procurement and Vendor Management leaders &amp; best practices for delivering the highest value.</v>
      </c>
      <c r="D1564" t="s">
        <v>2654</v>
      </c>
      <c r="E1564" t="s">
        <v>1294</v>
      </c>
    </row>
    <row r="1565" spans="1:5" x14ac:dyDescent="0.35">
      <c r="A1565" t="s">
        <v>10</v>
      </c>
      <c r="B1565" t="s">
        <v>2662</v>
      </c>
      <c r="C1565" t="str">
        <f t="shared" si="24"/>
        <v>EmailLeverage Gartner Vendor Ratings to inform your Vendor Management selections.</v>
      </c>
      <c r="D1565" t="s">
        <v>2663</v>
      </c>
      <c r="E1565" t="s">
        <v>2664</v>
      </c>
    </row>
    <row r="1566" spans="1:5" x14ac:dyDescent="0.35">
      <c r="A1566" t="s">
        <v>10</v>
      </c>
      <c r="B1566" t="s">
        <v>2675</v>
      </c>
      <c r="C1566" t="str">
        <f t="shared" si="24"/>
        <v>EmailReview the typical challenges faced in ERP modernization projects and the best practices for beginning the strategize and plan phase.</v>
      </c>
      <c r="D1566" t="s">
        <v>2676</v>
      </c>
      <c r="E1566" t="s">
        <v>2677</v>
      </c>
    </row>
    <row r="1567" spans="1:5" x14ac:dyDescent="0.35">
      <c r="A1567" t="s">
        <v>10</v>
      </c>
      <c r="B1567" t="s">
        <v>2685</v>
      </c>
      <c r="C1567" t="str">
        <f t="shared" si="24"/>
        <v>EmailLunch &amp; learn Gartner Webinar covering why it is key to understand to whom you are speaking so you can structure messages that are meaningful to you.</v>
      </c>
      <c r="D1567" t="s">
        <v>557</v>
      </c>
      <c r="E1567" t="s">
        <v>1991</v>
      </c>
    </row>
    <row r="1568" spans="1:5" x14ac:dyDescent="0.35">
      <c r="A1568" t="s">
        <v>10</v>
      </c>
      <c r="B1568" t="s">
        <v>2698</v>
      </c>
      <c r="C1568" t="str">
        <f t="shared" si="24"/>
        <v xml:space="preserve">EmailLearn about the best practices in building high-performance, adaptive teams. </v>
      </c>
      <c r="D1568" t="s">
        <v>852</v>
      </c>
      <c r="E1568" t="s">
        <v>853</v>
      </c>
    </row>
    <row r="1569" spans="1:5" x14ac:dyDescent="0.35">
      <c r="A1569" t="s">
        <v>10</v>
      </c>
      <c r="B1569" t="s">
        <v>2704</v>
      </c>
      <c r="C1569" t="str">
        <f t="shared" si="24"/>
        <v>EmailUnderstand the opportunities and challenges that the digital era brings to leadership roles. Learn about techniques to adapt your leadership approach.</v>
      </c>
      <c r="D1569" t="s">
        <v>808</v>
      </c>
      <c r="E1569" t="s">
        <v>821</v>
      </c>
    </row>
    <row r="1570" spans="1:5" x14ac:dyDescent="0.35">
      <c r="A1570" t="s">
        <v>10</v>
      </c>
      <c r="B1570" t="s">
        <v>2715</v>
      </c>
      <c r="C1570" t="str">
        <f t="shared" si="24"/>
        <v>EmailLunch and learn: This session helps CIOs know when they are in a political conversation, and provides practical techniques for a successful outcome.</v>
      </c>
      <c r="D1570" t="s">
        <v>2001</v>
      </c>
      <c r="E1570" t="s">
        <v>2716</v>
      </c>
    </row>
    <row r="1571" spans="1:5" x14ac:dyDescent="0.35">
      <c r="A1571" t="s">
        <v>10</v>
      </c>
      <c r="B1571" t="s">
        <v>2720</v>
      </c>
      <c r="C1571" t="str">
        <f t="shared" si="24"/>
        <v>EmailReview survey results  aimed at helping leaders reconcile stakeholder perspectives on CRM and CX initiatives to differentiate the organization.</v>
      </c>
      <c r="D1571" t="s">
        <v>2721</v>
      </c>
      <c r="E1571" t="s">
        <v>699</v>
      </c>
    </row>
    <row r="1572" spans="1:5" x14ac:dyDescent="0.35">
      <c r="A1572" t="s">
        <v>10</v>
      </c>
      <c r="B1572" t="s">
        <v>2722</v>
      </c>
      <c r="C1572" t="str">
        <f t="shared" si="24"/>
        <v>EmailTeam lunch and learn using Symposium replay. Understand a CRM project from eight different perspectives.</v>
      </c>
      <c r="D1572" t="s">
        <v>2723</v>
      </c>
      <c r="E1572" t="s">
        <v>707</v>
      </c>
    </row>
    <row r="1573" spans="1:5" x14ac:dyDescent="0.35">
      <c r="A1573" t="s">
        <v>10</v>
      </c>
      <c r="B1573" t="s">
        <v>2729</v>
      </c>
      <c r="C1573" t="str">
        <f t="shared" si="24"/>
        <v>EmailHow a team at State Farm conducted a root-cause analysis of customer pain points and uses its findings to inform the IT portfolio planning process.</v>
      </c>
      <c r="D1573" t="s">
        <v>2730</v>
      </c>
      <c r="E1573" t="s">
        <v>2731</v>
      </c>
    </row>
    <row r="1574" spans="1:5" x14ac:dyDescent="0.35">
      <c r="A1574" t="s">
        <v>10</v>
      </c>
      <c r="B1574" t="s">
        <v>2747</v>
      </c>
      <c r="C1574" t="str">
        <f t="shared" si="24"/>
        <v>EmailLunch &amp; learn Event replay: Discuss alternative methods to affect culture change – we suggest you “hack” your culture.</v>
      </c>
      <c r="D1574" t="s">
        <v>966</v>
      </c>
      <c r="E1574" t="s">
        <v>2748</v>
      </c>
    </row>
    <row r="1575" spans="1:5" x14ac:dyDescent="0.35">
      <c r="A1575" t="s">
        <v>10</v>
      </c>
      <c r="B1575" t="s">
        <v>2750</v>
      </c>
      <c r="C1575" t="str">
        <f t="shared" si="24"/>
        <v>EmailUse the Research Index to leverage change leadership practices, target the people side of change &amp; make culture an opportunity &amp; strength of the firm.</v>
      </c>
      <c r="D1575" t="s">
        <v>979</v>
      </c>
      <c r="E1575" t="s">
        <v>980</v>
      </c>
    </row>
    <row r="1576" spans="1:5" x14ac:dyDescent="0.35">
      <c r="A1576" t="s">
        <v>10</v>
      </c>
      <c r="B1576" t="s">
        <v>2755</v>
      </c>
      <c r="C1576" t="str">
        <f t="shared" si="24"/>
        <v xml:space="preserve">EmailLunch &amp; learn webinar. Goes deeper into the 5 dimensions of culture that are effective starting points for change. </v>
      </c>
      <c r="D1576" t="s">
        <v>2756</v>
      </c>
      <c r="E1576" t="s">
        <v>2757</v>
      </c>
    </row>
    <row r="1577" spans="1:5" x14ac:dyDescent="0.35">
      <c r="A1577" t="s">
        <v>10</v>
      </c>
      <c r="B1577" t="s">
        <v>2763</v>
      </c>
      <c r="C1577" t="str">
        <f t="shared" si="24"/>
        <v>EmailReview supporting research around the need to consolidate business functions or to standardize business processes for effective rationalization.</v>
      </c>
      <c r="D1577" t="s">
        <v>2148</v>
      </c>
      <c r="E1577" t="s">
        <v>2149</v>
      </c>
    </row>
    <row r="1578" spans="1:5" x14ac:dyDescent="0.35">
      <c r="A1578" t="s">
        <v>10</v>
      </c>
      <c r="B1578" t="s">
        <v>2764</v>
      </c>
      <c r="C1578" t="str">
        <f t="shared" si="24"/>
        <v>EmailDevelop detailed stakeholder communications plans tailored for each line of business.</v>
      </c>
      <c r="D1578" t="s">
        <v>2765</v>
      </c>
      <c r="E1578" t="s">
        <v>2766</v>
      </c>
    </row>
    <row r="1579" spans="1:5" x14ac:dyDescent="0.35">
      <c r="A1579" t="s">
        <v>10</v>
      </c>
      <c r="B1579" t="s">
        <v>2767</v>
      </c>
      <c r="C1579" t="str">
        <f t="shared" si="24"/>
        <v>EmailUnderstand the pros and cons of application (and related business process) standardization for consideration in portfolio review and rationalization.</v>
      </c>
      <c r="D1579" t="s">
        <v>2157</v>
      </c>
      <c r="E1579" t="s">
        <v>2158</v>
      </c>
    </row>
    <row r="1580" spans="1:5" x14ac:dyDescent="0.35">
      <c r="A1580" t="s">
        <v>10</v>
      </c>
      <c r="B1580" t="s">
        <v>2777</v>
      </c>
      <c r="C1580" t="str">
        <f t="shared" si="24"/>
        <v>EmailUse the toolkit to understand the business scope and communicate the value and impact of EA.</v>
      </c>
      <c r="D1580" t="s">
        <v>2778</v>
      </c>
      <c r="E1580" t="s">
        <v>2779</v>
      </c>
    </row>
    <row r="1581" spans="1:5" x14ac:dyDescent="0.35">
      <c r="A1581" t="s">
        <v>10</v>
      </c>
      <c r="B1581" t="s">
        <v>2789</v>
      </c>
      <c r="C1581" t="str">
        <f t="shared" si="24"/>
        <v>EmailLunch and learn webinar</v>
      </c>
      <c r="D1581" t="s">
        <v>1580</v>
      </c>
      <c r="E1581" t="s">
        <v>1581</v>
      </c>
    </row>
    <row r="1582" spans="1:5" x14ac:dyDescent="0.35">
      <c r="A1582" t="s">
        <v>10</v>
      </c>
      <c r="B1582" t="s">
        <v>2790</v>
      </c>
      <c r="C1582" t="str">
        <f t="shared" si="24"/>
        <v>EmailReview research helpful in the initial days of an Enterprise Architect.</v>
      </c>
    </row>
    <row r="1583" spans="1:5" x14ac:dyDescent="0.35">
      <c r="A1583" t="s">
        <v>10</v>
      </c>
      <c r="B1583" t="s">
        <v>2795</v>
      </c>
      <c r="C1583" t="str">
        <f t="shared" si="24"/>
        <v>EmailEstablishing measurable criteria by which solutions can be judged as high (or low) quality.</v>
      </c>
      <c r="D1583" t="s">
        <v>1589</v>
      </c>
      <c r="E1583" t="s">
        <v>1590</v>
      </c>
    </row>
    <row r="1584" spans="1:5" x14ac:dyDescent="0.35">
      <c r="A1584" t="s">
        <v>10</v>
      </c>
      <c r="B1584" t="s">
        <v>2799</v>
      </c>
      <c r="C1584" t="str">
        <f t="shared" si="24"/>
        <v xml:space="preserve">EmailHost a lunch and learn for the team - Symposium replay: </v>
      </c>
      <c r="D1584" t="s">
        <v>2800</v>
      </c>
      <c r="E1584" t="s">
        <v>2801</v>
      </c>
    </row>
    <row r="1585" spans="1:5" x14ac:dyDescent="0.35">
      <c r="A1585" t="s">
        <v>10</v>
      </c>
      <c r="B1585" t="s">
        <v>2807</v>
      </c>
      <c r="C1585" t="str">
        <f t="shared" si="24"/>
        <v>EmailReview a curated collection of the best and most inspirational ideas and examples of analytics strategies.</v>
      </c>
      <c r="D1585" t="s">
        <v>2808</v>
      </c>
      <c r="E1585" t="s">
        <v>2809</v>
      </c>
    </row>
    <row r="1586" spans="1:5" x14ac:dyDescent="0.35">
      <c r="A1586" t="s">
        <v>10</v>
      </c>
      <c r="B1586" t="s">
        <v>2815</v>
      </c>
      <c r="C1586" t="str">
        <f t="shared" si="24"/>
        <v>EmailReview how distributed analytics teams are leading changes and reshaping IT’s role in data and analytics.</v>
      </c>
      <c r="D1586" t="s">
        <v>2816</v>
      </c>
      <c r="E1586" t="s">
        <v>2817</v>
      </c>
    </row>
    <row r="1587" spans="1:5" x14ac:dyDescent="0.35">
      <c r="A1587" t="s">
        <v>10</v>
      </c>
      <c r="B1587" t="s">
        <v>2825</v>
      </c>
      <c r="C1587" t="str">
        <f t="shared" si="24"/>
        <v>EmailReview a curated collection of the best practice examples of analytics strategies.</v>
      </c>
      <c r="D1587" t="s">
        <v>2808</v>
      </c>
      <c r="E1587" t="s">
        <v>2809</v>
      </c>
    </row>
    <row r="1588" spans="1:5" x14ac:dyDescent="0.35">
      <c r="A1588" t="s">
        <v>10</v>
      </c>
      <c r="B1588" t="s">
        <v>2840</v>
      </c>
      <c r="C1588" t="str">
        <f t="shared" si="24"/>
        <v>EmailUse the CEB process map as guidance in improving the planning process &amp; for communicating the IT strategic planning process to relevant stakeholders.</v>
      </c>
      <c r="D1588" t="s">
        <v>2841</v>
      </c>
      <c r="E1588" t="s">
        <v>2315</v>
      </c>
    </row>
    <row r="1589" spans="1:5" x14ac:dyDescent="0.35">
      <c r="A1589" t="s">
        <v>10</v>
      </c>
      <c r="B1589" t="s">
        <v>2847</v>
      </c>
      <c r="C1589" t="str">
        <f t="shared" si="24"/>
        <v>EmailDevelop effective stakeholder management via three steps of stakeholder identification, segmentation and communication.</v>
      </c>
      <c r="D1589" t="s">
        <v>1987</v>
      </c>
      <c r="E1589" t="s">
        <v>1988</v>
      </c>
    </row>
    <row r="1590" spans="1:5" x14ac:dyDescent="0.35">
      <c r="A1590" t="s">
        <v>10</v>
      </c>
      <c r="B1590" t="s">
        <v>2854</v>
      </c>
      <c r="C1590" t="str">
        <f t="shared" si="24"/>
        <v>EmailSwitch from responding to management-led business requirements to initiating business requirements.</v>
      </c>
      <c r="D1590" t="s">
        <v>2855</v>
      </c>
      <c r="E1590" t="s">
        <v>2856</v>
      </c>
    </row>
    <row r="1591" spans="1:5" x14ac:dyDescent="0.35">
      <c r="A1591" t="s">
        <v>10</v>
      </c>
      <c r="B1591" t="s">
        <v>2858</v>
      </c>
      <c r="C1591" t="str">
        <f t="shared" si="24"/>
        <v>EmailRead foundational research :</v>
      </c>
      <c r="D1591" t="s">
        <v>2859</v>
      </c>
      <c r="E1591" t="s">
        <v>2860</v>
      </c>
    </row>
    <row r="1592" spans="1:5" x14ac:dyDescent="0.35">
      <c r="A1592" t="s">
        <v>10</v>
      </c>
      <c r="B1592" t="s">
        <v>2864</v>
      </c>
      <c r="C1592" t="str">
        <f t="shared" si="24"/>
        <v>EmailLunch and learn symposium replay :</v>
      </c>
      <c r="D1592" t="s">
        <v>2865</v>
      </c>
      <c r="E1592" t="s">
        <v>2865</v>
      </c>
    </row>
    <row r="1593" spans="1:5" x14ac:dyDescent="0.35">
      <c r="A1593" t="s">
        <v>10</v>
      </c>
      <c r="B1593" t="s">
        <v>2869</v>
      </c>
      <c r="C1593" t="str">
        <f t="shared" si="24"/>
        <v>EmailRead Research :</v>
      </c>
      <c r="D1593" t="s">
        <v>2870</v>
      </c>
      <c r="E1593" t="s">
        <v>2871</v>
      </c>
    </row>
    <row r="1594" spans="1:5" x14ac:dyDescent="0.35">
      <c r="A1594" t="s">
        <v>10</v>
      </c>
      <c r="B1594" t="s">
        <v>2883</v>
      </c>
      <c r="C1594" t="str">
        <f t="shared" si="24"/>
        <v>EmailConduct a survey to also qualitatively analyze the state currently:</v>
      </c>
      <c r="D1594" t="s">
        <v>2884</v>
      </c>
      <c r="E1594" t="s">
        <v>2885</v>
      </c>
    </row>
    <row r="1595" spans="1:5" x14ac:dyDescent="0.35">
      <c r="A1595" t="s">
        <v>10</v>
      </c>
      <c r="B1595" t="s">
        <v>2892</v>
      </c>
      <c r="C1595" t="str">
        <f t="shared" si="24"/>
        <v xml:space="preserve">EmailRead foundational research: </v>
      </c>
      <c r="D1595" t="s">
        <v>2893</v>
      </c>
      <c r="E1595" t="s">
        <v>2894</v>
      </c>
    </row>
    <row r="1596" spans="1:5" x14ac:dyDescent="0.35">
      <c r="A1596" t="s">
        <v>10</v>
      </c>
      <c r="B1596" t="s">
        <v>2898</v>
      </c>
      <c r="C1596" t="str">
        <f t="shared" si="24"/>
        <v xml:space="preserve">EmailExplore progressive vendors in the digital workplace landscape: </v>
      </c>
      <c r="D1596" t="s">
        <v>2899</v>
      </c>
      <c r="E1596" t="s">
        <v>2900</v>
      </c>
    </row>
    <row r="1597" spans="1:5" x14ac:dyDescent="0.35">
      <c r="A1597" t="s">
        <v>10</v>
      </c>
      <c r="B1597" t="s">
        <v>2907</v>
      </c>
      <c r="C1597" t="str">
        <f t="shared" si="24"/>
        <v xml:space="preserve">EmailLeverage toolkit as a template for selecting, tracking and communicating relevant metrics to the executive leadership and other stakeholders: </v>
      </c>
      <c r="D1597" t="s">
        <v>2908</v>
      </c>
      <c r="E1597" t="s">
        <v>2909</v>
      </c>
    </row>
    <row r="1598" spans="1:5" x14ac:dyDescent="0.35">
      <c r="A1598" t="s">
        <v>10</v>
      </c>
      <c r="B1598" t="s">
        <v>2910</v>
      </c>
      <c r="C1598" t="str">
        <f t="shared" si="24"/>
        <v xml:space="preserve">EmailRead forward looking research: </v>
      </c>
      <c r="D1598" t="s">
        <v>2911</v>
      </c>
      <c r="E1598" t="s">
        <v>2912</v>
      </c>
    </row>
    <row r="1599" spans="1:5" x14ac:dyDescent="0.35">
      <c r="A1599" t="s">
        <v>10</v>
      </c>
      <c r="B1599" t="s">
        <v>2919</v>
      </c>
      <c r="C1599" t="str">
        <f t="shared" si="24"/>
        <v>EmailReview research to understand the core concept of blockchain and the historical context in which it is evolving</v>
      </c>
      <c r="D1599" t="s">
        <v>1782</v>
      </c>
      <c r="E1599" t="s">
        <v>2920</v>
      </c>
    </row>
    <row r="1600" spans="1:5" x14ac:dyDescent="0.35">
      <c r="A1600" t="s">
        <v>10</v>
      </c>
      <c r="B1600" t="s">
        <v>2930</v>
      </c>
      <c r="C1600" t="str">
        <f t="shared" si="24"/>
        <v xml:space="preserve">EmailLunch and learn webinar on blockchain potential and challenges:  </v>
      </c>
      <c r="D1600" t="s">
        <v>2931</v>
      </c>
      <c r="E1600" t="s">
        <v>2932</v>
      </c>
    </row>
    <row r="1601" spans="1:5" x14ac:dyDescent="0.35">
      <c r="A1601" t="s">
        <v>10</v>
      </c>
      <c r="B1601" t="s">
        <v>2934</v>
      </c>
      <c r="C1601" t="str">
        <f t="shared" si="24"/>
        <v xml:space="preserve">EmailReview Peer conversations on:
</v>
      </c>
      <c r="D1601" t="s">
        <v>2</v>
      </c>
      <c r="E1601" t="s">
        <v>2935</v>
      </c>
    </row>
    <row r="1602" spans="1:5" x14ac:dyDescent="0.35">
      <c r="A1602" t="s">
        <v>10</v>
      </c>
      <c r="B1602" t="s">
        <v>2942</v>
      </c>
      <c r="C1602" t="str">
        <f t="shared" si="24"/>
        <v xml:space="preserve">EmailReview research:  </v>
      </c>
      <c r="D1602" t="s">
        <v>2943</v>
      </c>
      <c r="E1602" t="s">
        <v>2944</v>
      </c>
    </row>
    <row r="1603" spans="1:5" x14ac:dyDescent="0.35">
      <c r="A1603" t="s">
        <v>10</v>
      </c>
      <c r="B1603" t="s">
        <v>2949</v>
      </c>
      <c r="C1603" t="str">
        <f t="shared" ref="C1603:C1666" si="25">CONCATENATE(A1603,B1603)</f>
        <v>EmailResearch highlights - IT Key Metrics:</v>
      </c>
      <c r="D1603" t="s">
        <v>892</v>
      </c>
      <c r="E1603" t="s">
        <v>893</v>
      </c>
    </row>
    <row r="1604" spans="1:5" x14ac:dyDescent="0.35">
      <c r="A1604" t="s">
        <v>10</v>
      </c>
      <c r="B1604" t="s">
        <v>2958</v>
      </c>
      <c r="C1604" t="str">
        <f t="shared" si="25"/>
        <v xml:space="preserve">EmailResearch highlights - Cool Vendors: </v>
      </c>
      <c r="D1604" t="s">
        <v>880</v>
      </c>
      <c r="E1604" t="s">
        <v>881</v>
      </c>
    </row>
    <row r="1605" spans="1:5" x14ac:dyDescent="0.35">
      <c r="A1605" t="s">
        <v>10</v>
      </c>
      <c r="B1605" t="s">
        <v>2962</v>
      </c>
      <c r="C1605" t="str">
        <f t="shared" si="25"/>
        <v>EmailResearch highlights - Hype Cycles:</v>
      </c>
      <c r="D1605" t="s">
        <v>886</v>
      </c>
      <c r="E1605" t="s">
        <v>887</v>
      </c>
    </row>
    <row r="1606" spans="1:5" x14ac:dyDescent="0.35">
      <c r="A1606" t="s">
        <v>10</v>
      </c>
      <c r="B1606" t="s">
        <v>2976</v>
      </c>
      <c r="C1606" t="str">
        <f t="shared" si="25"/>
        <v>EmailReview research on the importance of taking a nuanced approach to a product-centric model</v>
      </c>
      <c r="D1606" t="s">
        <v>2977</v>
      </c>
      <c r="E1606" t="s">
        <v>2978</v>
      </c>
    </row>
    <row r="1607" spans="1:5" x14ac:dyDescent="0.35">
      <c r="A1607" t="s">
        <v>10</v>
      </c>
      <c r="B1607" t="s">
        <v>2981</v>
      </c>
      <c r="C1607" t="str">
        <f t="shared" si="25"/>
        <v>EmailReview best-practices on adopting an agile, product-centric delivery model.</v>
      </c>
      <c r="D1607" t="s">
        <v>2982</v>
      </c>
      <c r="E1607" t="s">
        <v>2983</v>
      </c>
    </row>
    <row r="1608" spans="1:5" x14ac:dyDescent="0.35">
      <c r="A1608" t="s">
        <v>10</v>
      </c>
      <c r="B1608" t="s">
        <v>2987</v>
      </c>
      <c r="C1608" t="str">
        <f t="shared" si="25"/>
        <v>EmailReview research on the importance of Product Management to Digital Business.</v>
      </c>
      <c r="D1608" t="s">
        <v>2988</v>
      </c>
      <c r="E1608" t="s">
        <v>2989</v>
      </c>
    </row>
    <row r="1609" spans="1:5" x14ac:dyDescent="0.35">
      <c r="A1609" t="s">
        <v>10</v>
      </c>
      <c r="B1609" t="s">
        <v>2990</v>
      </c>
      <c r="C1609" t="str">
        <f t="shared" si="25"/>
        <v>EmailReview research on strengthening Product Management further to scale Digital Business.</v>
      </c>
      <c r="D1609" t="s">
        <v>2991</v>
      </c>
      <c r="E1609" t="s">
        <v>2992</v>
      </c>
    </row>
    <row r="1610" spans="1:5" x14ac:dyDescent="0.35">
      <c r="A1610" t="s">
        <v>10</v>
      </c>
      <c r="B1610" t="s">
        <v>2996</v>
      </c>
      <c r="C1610" t="str">
        <f t="shared" si="25"/>
        <v>EmailReview the impact of moving from projects to products on the IT operating model.</v>
      </c>
      <c r="D1610" t="s">
        <v>2997</v>
      </c>
      <c r="E1610" t="s">
        <v>2998</v>
      </c>
    </row>
    <row r="1611" spans="1:5" x14ac:dyDescent="0.35">
      <c r="A1611" t="s">
        <v>10</v>
      </c>
      <c r="B1611" t="s">
        <v>3002</v>
      </c>
      <c r="C1611" t="str">
        <f t="shared" si="25"/>
        <v xml:space="preserve">EmailReview research on strengthening Product Management further to scale Digital Business.
</v>
      </c>
      <c r="D1611" t="s">
        <v>2991</v>
      </c>
      <c r="E1611" t="s">
        <v>2992</v>
      </c>
    </row>
    <row r="1612" spans="1:5" x14ac:dyDescent="0.35">
      <c r="A1612" t="s">
        <v>10</v>
      </c>
      <c r="B1612" t="s">
        <v>2952</v>
      </c>
      <c r="C1612" t="str">
        <f t="shared" si="25"/>
        <v xml:space="preserve">EmailResearch highlights - New Year Resolutions: </v>
      </c>
      <c r="D1612" t="s">
        <v>866</v>
      </c>
      <c r="E1612" t="s">
        <v>2953</v>
      </c>
    </row>
    <row r="1613" spans="1:5" x14ac:dyDescent="0.35">
      <c r="A1613" t="s">
        <v>10</v>
      </c>
      <c r="B1613" t="s">
        <v>3011</v>
      </c>
      <c r="C1613" t="str">
        <f t="shared" si="25"/>
        <v>EmailRecognize the differences, as well as the interdependencies between different industry initiatives.</v>
      </c>
      <c r="D1613" t="s">
        <v>3012</v>
      </c>
      <c r="E1613" t="s">
        <v>3013</v>
      </c>
    </row>
    <row r="1614" spans="1:5" x14ac:dyDescent="0.35">
      <c r="A1614" t="s">
        <v>10</v>
      </c>
      <c r="B1614" t="s">
        <v>3016</v>
      </c>
      <c r="C1614" t="str">
        <f t="shared" si="25"/>
        <v>EmailRead research on changes required in the business models and processes.</v>
      </c>
      <c r="D1614" t="s">
        <v>2928</v>
      </c>
      <c r="E1614" t="s">
        <v>2929</v>
      </c>
    </row>
    <row r="1615" spans="1:5" x14ac:dyDescent="0.35">
      <c r="A1615" t="s">
        <v>10</v>
      </c>
      <c r="B1615" t="s">
        <v>3040</v>
      </c>
      <c r="C1615" t="str">
        <f t="shared" si="25"/>
        <v xml:space="preserve">EmailRecognize the differences, as well as the interdependencies between different industry initiatives. </v>
      </c>
      <c r="D1615" t="s">
        <v>3012</v>
      </c>
      <c r="E1615" t="s">
        <v>3013</v>
      </c>
    </row>
    <row r="1616" spans="1:5" x14ac:dyDescent="0.35">
      <c r="A1616" t="s">
        <v>10</v>
      </c>
      <c r="B1616" t="s">
        <v>3046</v>
      </c>
      <c r="C1616" t="str">
        <f t="shared" si="25"/>
        <v>EmailFor insights on cloud, leverage:</v>
      </c>
      <c r="D1616" t="s">
        <v>2227</v>
      </c>
      <c r="E1616" t="s">
        <v>3047</v>
      </c>
    </row>
    <row r="1617" spans="1:5" x14ac:dyDescent="0.35">
      <c r="A1617" t="s">
        <v>10</v>
      </c>
      <c r="B1617" t="s">
        <v>3050</v>
      </c>
      <c r="C1617" t="str">
        <f t="shared" si="25"/>
        <v>EmailFor insight on security technologies, leverage:</v>
      </c>
      <c r="D1617" t="s">
        <v>3051</v>
      </c>
      <c r="E1617" t="s">
        <v>3052</v>
      </c>
    </row>
    <row r="1618" spans="1:5" x14ac:dyDescent="0.35">
      <c r="A1618" t="s">
        <v>10</v>
      </c>
      <c r="B1618" t="s">
        <v>3060</v>
      </c>
      <c r="C1618" t="str">
        <f t="shared" si="25"/>
        <v>EmailFor insight into best practice network design, leverage:</v>
      </c>
      <c r="D1618" t="s">
        <v>3061</v>
      </c>
      <c r="E1618" t="s">
        <v>3062</v>
      </c>
    </row>
    <row r="1619" spans="1:5" x14ac:dyDescent="0.35">
      <c r="A1619" t="s">
        <v>10</v>
      </c>
      <c r="B1619" t="s">
        <v>3064</v>
      </c>
      <c r="C1619" t="str">
        <f t="shared" si="25"/>
        <v>EmailFor insight into best practice on presenting, leverage:</v>
      </c>
      <c r="D1619" t="s">
        <v>463</v>
      </c>
      <c r="E1619" t="s">
        <v>3065</v>
      </c>
    </row>
    <row r="1620" spans="1:5" x14ac:dyDescent="0.35">
      <c r="A1620" t="s">
        <v>10</v>
      </c>
      <c r="B1620" t="s">
        <v>3073</v>
      </c>
      <c r="C1620" t="str">
        <f t="shared" si="25"/>
        <v>EmailResearch</v>
      </c>
      <c r="D1620" t="s">
        <v>3074</v>
      </c>
      <c r="E1620" t="s">
        <v>3075</v>
      </c>
    </row>
    <row r="1621" spans="1:5" x14ac:dyDescent="0.35">
      <c r="A1621" t="s">
        <v>10</v>
      </c>
      <c r="B1621" t="s">
        <v>3073</v>
      </c>
      <c r="C1621" t="str">
        <f t="shared" si="25"/>
        <v>EmailResearch</v>
      </c>
      <c r="D1621" t="s">
        <v>3076</v>
      </c>
      <c r="E1621" t="s">
        <v>3077</v>
      </c>
    </row>
    <row r="1622" spans="1:5" x14ac:dyDescent="0.35">
      <c r="A1622" t="s">
        <v>10</v>
      </c>
      <c r="B1622" t="s">
        <v>3079</v>
      </c>
      <c r="C1622" t="str">
        <f t="shared" si="25"/>
        <v>Email Work with Leadership Partner to define a 12-month action plan using Gartner's M-A-T-U-R-E methodology and the calculated ITScore.</v>
      </c>
      <c r="D1622" t="s">
        <v>3080</v>
      </c>
      <c r="E1622" t="s">
        <v>1282</v>
      </c>
    </row>
    <row r="1623" spans="1:5" x14ac:dyDescent="0.35">
      <c r="A1623" t="s">
        <v>10</v>
      </c>
      <c r="B1623" t="s">
        <v>3073</v>
      </c>
      <c r="C1623" t="str">
        <f t="shared" si="25"/>
        <v>EmailResearch</v>
      </c>
      <c r="D1623" t="s">
        <v>3082</v>
      </c>
      <c r="E1623" t="s">
        <v>2648</v>
      </c>
    </row>
    <row r="1624" spans="1:5" x14ac:dyDescent="0.35">
      <c r="A1624" t="s">
        <v>10</v>
      </c>
      <c r="B1624" t="s">
        <v>3073</v>
      </c>
      <c r="C1624" t="str">
        <f t="shared" si="25"/>
        <v>EmailResearch</v>
      </c>
      <c r="D1624" t="s">
        <v>3084</v>
      </c>
      <c r="E1624" t="s">
        <v>3085</v>
      </c>
    </row>
    <row r="1625" spans="1:5" x14ac:dyDescent="0.35">
      <c r="A1625" t="s">
        <v>10</v>
      </c>
      <c r="B1625" t="s">
        <v>3073</v>
      </c>
      <c r="C1625" t="str">
        <f t="shared" si="25"/>
        <v>EmailResearch</v>
      </c>
      <c r="D1625" t="s">
        <v>1306</v>
      </c>
      <c r="E1625" t="s">
        <v>1307</v>
      </c>
    </row>
    <row r="1626" spans="1:5" x14ac:dyDescent="0.35">
      <c r="A1626" t="s">
        <v>10</v>
      </c>
      <c r="B1626" t="s">
        <v>3073</v>
      </c>
      <c r="C1626" t="str">
        <f t="shared" si="25"/>
        <v>EmailResearch</v>
      </c>
      <c r="D1626" t="s">
        <v>3088</v>
      </c>
      <c r="E1626" t="s">
        <v>3089</v>
      </c>
    </row>
    <row r="1627" spans="1:5" x14ac:dyDescent="0.35">
      <c r="A1627" t="s">
        <v>10</v>
      </c>
      <c r="B1627" t="s">
        <v>3073</v>
      </c>
      <c r="C1627" t="str">
        <f t="shared" si="25"/>
        <v>EmailResearch</v>
      </c>
      <c r="D1627" t="s">
        <v>3092</v>
      </c>
      <c r="E1627" t="s">
        <v>3093</v>
      </c>
    </row>
    <row r="1628" spans="1:5" x14ac:dyDescent="0.35">
      <c r="A1628" t="s">
        <v>10</v>
      </c>
      <c r="B1628" t="s">
        <v>3073</v>
      </c>
      <c r="C1628" t="str">
        <f t="shared" si="25"/>
        <v>EmailResearch</v>
      </c>
      <c r="D1628" t="s">
        <v>3096</v>
      </c>
      <c r="E1628" t="s">
        <v>3097</v>
      </c>
    </row>
    <row r="1629" spans="1:5" x14ac:dyDescent="0.35">
      <c r="A1629" t="s">
        <v>10</v>
      </c>
      <c r="B1629" t="s">
        <v>3073</v>
      </c>
      <c r="C1629" t="str">
        <f t="shared" si="25"/>
        <v>EmailResearch</v>
      </c>
      <c r="D1629" t="s">
        <v>3098</v>
      </c>
      <c r="E1629" t="s">
        <v>3099</v>
      </c>
    </row>
    <row r="1630" spans="1:5" x14ac:dyDescent="0.35">
      <c r="A1630" t="s">
        <v>10</v>
      </c>
      <c r="B1630" t="s">
        <v>3102</v>
      </c>
      <c r="C1630" t="str">
        <f t="shared" si="25"/>
        <v>EmailResearch on Vendor Scorecard and IT Vendor Assessment Scorecard Builder</v>
      </c>
    </row>
    <row r="1631" spans="1:5" x14ac:dyDescent="0.35">
      <c r="A1631" t="s">
        <v>10</v>
      </c>
      <c r="B1631" t="s">
        <v>3073</v>
      </c>
      <c r="C1631" t="str">
        <f t="shared" si="25"/>
        <v>EmailResearch</v>
      </c>
      <c r="D1631" t="s">
        <v>1299</v>
      </c>
      <c r="E1631" t="s">
        <v>3105</v>
      </c>
    </row>
    <row r="1632" spans="1:5" x14ac:dyDescent="0.35">
      <c r="A1632" t="s">
        <v>10</v>
      </c>
      <c r="B1632" t="s">
        <v>3073</v>
      </c>
      <c r="C1632" t="str">
        <f t="shared" si="25"/>
        <v>EmailResearch</v>
      </c>
      <c r="D1632" t="s">
        <v>1299</v>
      </c>
      <c r="E1632" t="s">
        <v>3107</v>
      </c>
    </row>
    <row r="1633" spans="1:5" x14ac:dyDescent="0.35">
      <c r="A1633" t="s">
        <v>10</v>
      </c>
      <c r="B1633" t="s">
        <v>3112</v>
      </c>
      <c r="C1633" t="str">
        <f t="shared" si="25"/>
        <v>EmailRefer to foundational Research material</v>
      </c>
      <c r="D1633" t="s">
        <v>1366</v>
      </c>
      <c r="E1633" t="s">
        <v>3113</v>
      </c>
    </row>
    <row r="1634" spans="1:5" x14ac:dyDescent="0.35">
      <c r="A1634" t="s">
        <v>10</v>
      </c>
      <c r="B1634" t="s">
        <v>3115</v>
      </c>
      <c r="C1634" t="str">
        <f t="shared" si="25"/>
        <v xml:space="preserve">EmailReview Research for identifying which type of strategy is best-suited to your initiative — one based on experiments, options or choices </v>
      </c>
      <c r="D1634" t="s">
        <v>3116</v>
      </c>
      <c r="E1634" t="s">
        <v>3117</v>
      </c>
    </row>
    <row r="1635" spans="1:5" x14ac:dyDescent="0.35">
      <c r="A1635" t="s">
        <v>10</v>
      </c>
      <c r="B1635" t="s">
        <v>3123</v>
      </c>
      <c r="C1635" t="str">
        <f t="shared" si="25"/>
        <v xml:space="preserve">EmailReview Research to determine your enterprise's mix of digital business optimization and transformation </v>
      </c>
      <c r="D1635" t="s">
        <v>3124</v>
      </c>
      <c r="E1635" t="s">
        <v>3125</v>
      </c>
    </row>
    <row r="1636" spans="1:5" x14ac:dyDescent="0.35">
      <c r="A1636" t="s">
        <v>10</v>
      </c>
      <c r="B1636" t="s">
        <v>3127</v>
      </c>
      <c r="C1636" t="str">
        <f t="shared" si="25"/>
        <v>EmailReview Research to use internal and external hackathons as a key element of ongoing business delivery and digital transformation</v>
      </c>
      <c r="D1636" t="s">
        <v>3128</v>
      </c>
      <c r="E1636" t="s">
        <v>3129</v>
      </c>
    </row>
    <row r="1637" spans="1:5" x14ac:dyDescent="0.35">
      <c r="A1637" t="s">
        <v>10</v>
      </c>
      <c r="B1637" t="s">
        <v>3138</v>
      </c>
      <c r="C1637" t="str">
        <f t="shared" si="25"/>
        <v>EmailRefer to Research to understand cost estimation before specific digital strategy is deployed</v>
      </c>
      <c r="D1637" t="s">
        <v>3139</v>
      </c>
      <c r="E1637" t="s">
        <v>3140</v>
      </c>
    </row>
    <row r="1638" spans="1:5" x14ac:dyDescent="0.35">
      <c r="A1638" t="s">
        <v>10</v>
      </c>
      <c r="B1638" t="s">
        <v>3141</v>
      </c>
      <c r="C1638" t="str">
        <f t="shared" si="25"/>
        <v>EmailReview Research to understand how to apply bimodal in digital transformation journey</v>
      </c>
      <c r="D1638" t="s">
        <v>3142</v>
      </c>
      <c r="E1638" t="s">
        <v>1820</v>
      </c>
    </row>
    <row r="1639" spans="1:5" x14ac:dyDescent="0.35">
      <c r="A1639" t="s">
        <v>10</v>
      </c>
      <c r="B1639" t="s">
        <v>3146</v>
      </c>
      <c r="C1639" t="str">
        <f t="shared" si="25"/>
        <v>EmailReview Research and evolve current IT landscape into a digital business technology platform</v>
      </c>
      <c r="D1639" t="s">
        <v>1385</v>
      </c>
      <c r="E1639" t="s">
        <v>3147</v>
      </c>
    </row>
    <row r="1640" spans="1:5" x14ac:dyDescent="0.35">
      <c r="A1640" t="s">
        <v>10</v>
      </c>
      <c r="B1640" t="s">
        <v>3151</v>
      </c>
      <c r="C1640" t="str">
        <f t="shared" si="25"/>
        <v>EmailRefer to Research and develop metrics and set goals that lay out the digital business journey and sharpen expected business outcomes</v>
      </c>
      <c r="D1640" t="s">
        <v>539</v>
      </c>
      <c r="E1640" t="s">
        <v>3152</v>
      </c>
    </row>
    <row r="1641" spans="1:5" x14ac:dyDescent="0.35">
      <c r="A1641" t="s">
        <v>10</v>
      </c>
      <c r="B1641" t="s">
        <v>3155</v>
      </c>
      <c r="C1641" t="str">
        <f t="shared" si="25"/>
        <v>EmailUse Research to close the strategy-to-execution loop by connecting the business operating model with real-life data</v>
      </c>
      <c r="D1641" t="s">
        <v>3156</v>
      </c>
      <c r="E1641" t="s">
        <v>3157</v>
      </c>
    </row>
    <row r="1642" spans="1:5" x14ac:dyDescent="0.35">
      <c r="A1642" t="s">
        <v>10</v>
      </c>
      <c r="B1642" t="s">
        <v>3161</v>
      </c>
      <c r="C1642" t="str">
        <f t="shared" si="25"/>
        <v xml:space="preserve">EmailAssess current levels of customer experience and customer management 
</v>
      </c>
      <c r="D1642" t="s">
        <v>2718</v>
      </c>
      <c r="E1642" t="s">
        <v>3162</v>
      </c>
    </row>
    <row r="1643" spans="1:5" x14ac:dyDescent="0.35">
      <c r="A1643" t="s">
        <v>10</v>
      </c>
      <c r="B1643" t="s">
        <v>3164</v>
      </c>
      <c r="C1643" t="str">
        <f t="shared" si="25"/>
        <v xml:space="preserve">EmailStart with foundational research on customer experience management 
</v>
      </c>
      <c r="D1643" t="s">
        <v>3165</v>
      </c>
      <c r="E1643" t="s">
        <v>3166</v>
      </c>
    </row>
    <row r="1644" spans="1:5" x14ac:dyDescent="0.35">
      <c r="A1644" t="s">
        <v>10</v>
      </c>
      <c r="B1644" t="s">
        <v>3164</v>
      </c>
      <c r="C1644" t="str">
        <f t="shared" si="25"/>
        <v xml:space="preserve">EmailStart with foundational research on customer experience management 
</v>
      </c>
      <c r="D1644" t="s">
        <v>3167</v>
      </c>
      <c r="E1644" t="s">
        <v>3168</v>
      </c>
    </row>
    <row r="1645" spans="1:5" x14ac:dyDescent="0.35">
      <c r="A1645" t="s">
        <v>10</v>
      </c>
      <c r="B1645" t="s">
        <v>3172</v>
      </c>
      <c r="C1645" t="str">
        <f t="shared" si="25"/>
        <v>EmailReview research to translate habits of customer centricity into a new set of improved actions to support CRM and CX strategies.</v>
      </c>
      <c r="D1645" t="s">
        <v>711</v>
      </c>
      <c r="E1645" t="s">
        <v>3173</v>
      </c>
    </row>
    <row r="1646" spans="1:5" x14ac:dyDescent="0.35">
      <c r="A1646" t="s">
        <v>10</v>
      </c>
      <c r="B1646" t="s">
        <v>3174</v>
      </c>
      <c r="C1646" t="str">
        <f t="shared" si="25"/>
        <v xml:space="preserve">EmailView research to learn about other types of CX project that you might want to implement
</v>
      </c>
      <c r="D1646" t="s">
        <v>3175</v>
      </c>
      <c r="E1646" t="s">
        <v>703</v>
      </c>
    </row>
    <row r="1647" spans="1:5" x14ac:dyDescent="0.35">
      <c r="A1647" t="s">
        <v>10</v>
      </c>
      <c r="B1647" t="s">
        <v>3177</v>
      </c>
      <c r="C1647" t="str">
        <f t="shared" si="25"/>
        <v>EmailLeaders should learn to incorporate MDM discipline into the overall CRM and CX strategy</v>
      </c>
      <c r="D1647" t="s">
        <v>3178</v>
      </c>
      <c r="E1647" t="s">
        <v>3179</v>
      </c>
    </row>
    <row r="1648" spans="1:5" x14ac:dyDescent="0.35">
      <c r="A1648" t="s">
        <v>10</v>
      </c>
      <c r="B1648" t="s">
        <v>3183</v>
      </c>
      <c r="C1648" t="str">
        <f t="shared" si="25"/>
        <v xml:space="preserve">EmailLeverage research to implement analytics to deliver better Customer experience  </v>
      </c>
      <c r="D1648" t="s">
        <v>3184</v>
      </c>
      <c r="E1648" t="s">
        <v>3185</v>
      </c>
    </row>
    <row r="1649" spans="1:5" x14ac:dyDescent="0.35">
      <c r="A1649" t="s">
        <v>10</v>
      </c>
      <c r="B1649" t="s">
        <v>3183</v>
      </c>
      <c r="C1649" t="str">
        <f t="shared" si="25"/>
        <v xml:space="preserve">EmailLeverage research to implement analytics to deliver better Customer experience  </v>
      </c>
      <c r="D1649" t="s">
        <v>3186</v>
      </c>
      <c r="E1649" t="s">
        <v>3187</v>
      </c>
    </row>
    <row r="1650" spans="1:5" x14ac:dyDescent="0.35">
      <c r="A1650" t="s">
        <v>10</v>
      </c>
      <c r="B1650" t="s">
        <v>3188</v>
      </c>
      <c r="C1650" t="str">
        <f t="shared" si="25"/>
        <v xml:space="preserve">EmailDrive increased investments in customer analytics or risk falling behind. </v>
      </c>
      <c r="D1650" t="s">
        <v>2733</v>
      </c>
      <c r="E1650" t="s">
        <v>735</v>
      </c>
    </row>
    <row r="1651" spans="1:5" x14ac:dyDescent="0.35">
      <c r="A1651" t="s">
        <v>10</v>
      </c>
      <c r="B1651" t="s">
        <v>3189</v>
      </c>
      <c r="C1651" t="str">
        <f t="shared" si="25"/>
        <v xml:space="preserve">EmailLeverage research to know about vendors in the market and their capabilities
</v>
      </c>
      <c r="D1651" t="s">
        <v>3190</v>
      </c>
      <c r="E1651" t="s">
        <v>3191</v>
      </c>
    </row>
    <row r="1652" spans="1:5" x14ac:dyDescent="0.35">
      <c r="A1652" t="s">
        <v>10</v>
      </c>
      <c r="B1652" t="s">
        <v>3189</v>
      </c>
      <c r="C1652" t="str">
        <f t="shared" si="25"/>
        <v xml:space="preserve">EmailLeverage research to know about vendors in the market and their capabilities
</v>
      </c>
      <c r="D1652" t="s">
        <v>3192</v>
      </c>
      <c r="E1652" t="s">
        <v>3193</v>
      </c>
    </row>
    <row r="1653" spans="1:5" x14ac:dyDescent="0.35">
      <c r="A1653" t="s">
        <v>10</v>
      </c>
      <c r="B1653" t="s">
        <v>3196</v>
      </c>
      <c r="C1653" t="str">
        <f t="shared" si="25"/>
        <v xml:space="preserve">EmailUnderstand key metrics to measure and manage Customer Experience 
</v>
      </c>
      <c r="D1653" t="s">
        <v>3197</v>
      </c>
      <c r="E1653" t="s">
        <v>729</v>
      </c>
    </row>
    <row r="1654" spans="1:5" x14ac:dyDescent="0.35">
      <c r="A1654" t="s">
        <v>10</v>
      </c>
      <c r="B1654" t="s">
        <v>3198</v>
      </c>
      <c r="C1654" t="str">
        <f t="shared" si="25"/>
        <v xml:space="preserve">EmailEnhance customer experience using personalization
</v>
      </c>
      <c r="D1654" t="s">
        <v>3199</v>
      </c>
      <c r="E1654" t="s">
        <v>3200</v>
      </c>
    </row>
    <row r="1655" spans="1:5" x14ac:dyDescent="0.35">
      <c r="A1655" t="s">
        <v>10</v>
      </c>
      <c r="B1655" t="s">
        <v>3202</v>
      </c>
      <c r="C1655" t="str">
        <f t="shared" si="25"/>
        <v>EmailTrack the benefits of having an excellent CX</v>
      </c>
      <c r="D1655" t="s">
        <v>3203</v>
      </c>
      <c r="E1655" t="s">
        <v>3193</v>
      </c>
    </row>
    <row r="1656" spans="1:5" x14ac:dyDescent="0.35">
      <c r="A1656" t="s">
        <v>10</v>
      </c>
      <c r="B1656" t="s">
        <v>3204</v>
      </c>
      <c r="C1656" t="str">
        <f t="shared" si="25"/>
        <v>EmailLeverage research to keep up with the future trends in the field of customer experience</v>
      </c>
      <c r="D1656" t="s">
        <v>3205</v>
      </c>
      <c r="E1656" t="s">
        <v>3206</v>
      </c>
    </row>
    <row r="1657" spans="1:5" x14ac:dyDescent="0.35">
      <c r="A1657" t="s">
        <v>10</v>
      </c>
      <c r="B1657" t="s">
        <v>3204</v>
      </c>
      <c r="C1657" t="str">
        <f t="shared" si="25"/>
        <v>EmailLeverage research to keep up with the future trends in the field of customer experience</v>
      </c>
      <c r="D1657" t="s">
        <v>3207</v>
      </c>
      <c r="E1657" t="s">
        <v>3208</v>
      </c>
    </row>
    <row r="1658" spans="1:5" x14ac:dyDescent="0.35">
      <c r="A1658" t="s">
        <v>10</v>
      </c>
      <c r="B1658" t="s">
        <v>3204</v>
      </c>
      <c r="C1658" t="str">
        <f t="shared" si="25"/>
        <v>EmailLeverage research to keep up with the future trends in the field of customer experience</v>
      </c>
      <c r="D1658" t="s">
        <v>3209</v>
      </c>
      <c r="E1658" t="s">
        <v>3210</v>
      </c>
    </row>
    <row r="1659" spans="1:5" x14ac:dyDescent="0.35">
      <c r="A1659" t="s">
        <v>10</v>
      </c>
      <c r="B1659" t="s">
        <v>3213</v>
      </c>
      <c r="C1659" t="str">
        <f t="shared" si="25"/>
        <v>EmailReview to understand how to optimize the design and orchestration of the IT organization</v>
      </c>
      <c r="D1659" t="s">
        <v>3214</v>
      </c>
      <c r="E1659" t="s">
        <v>3215</v>
      </c>
    </row>
    <row r="1660" spans="1:5" x14ac:dyDescent="0.35">
      <c r="A1660" t="s">
        <v>10</v>
      </c>
      <c r="B1660" t="s">
        <v>3221</v>
      </c>
      <c r="C1660" t="str">
        <f t="shared" si="25"/>
        <v>EmailUnderstand the difference in operating models for designing a digital business</v>
      </c>
      <c r="D1660" t="s">
        <v>2132</v>
      </c>
      <c r="E1660" t="s">
        <v>2133</v>
      </c>
    </row>
    <row r="1661" spans="1:5" x14ac:dyDescent="0.35">
      <c r="A1661" t="s">
        <v>10</v>
      </c>
      <c r="B1661" t="s">
        <v>3223</v>
      </c>
      <c r="C1661" t="str">
        <f t="shared" si="25"/>
        <v xml:space="preserve">EmailReview Research and identify the individual resources and skills required to start building a high-performing IT organization  </v>
      </c>
      <c r="D1661" t="s">
        <v>3224</v>
      </c>
      <c r="E1661" t="s">
        <v>3225</v>
      </c>
    </row>
    <row r="1662" spans="1:5" x14ac:dyDescent="0.35">
      <c r="A1662" t="s">
        <v>10</v>
      </c>
      <c r="B1662" t="s">
        <v>3228</v>
      </c>
      <c r="C1662" t="str">
        <f t="shared" si="25"/>
        <v xml:space="preserve">EmailRefer to Research for appropriate orchestrating principle behind IT organizational design 
</v>
      </c>
      <c r="D1662" t="s">
        <v>3229</v>
      </c>
      <c r="E1662" t="s">
        <v>3230</v>
      </c>
    </row>
    <row r="1663" spans="1:5" x14ac:dyDescent="0.35">
      <c r="A1663" t="s">
        <v>10</v>
      </c>
      <c r="B1663" t="s">
        <v>3233</v>
      </c>
      <c r="C1663" t="str">
        <f t="shared" si="25"/>
        <v xml:space="preserve">EmailRefer to Research on applying tactics of consumerization to the IT fabric, so as to make employees more agile and engaged
</v>
      </c>
      <c r="D1663" t="s">
        <v>3234</v>
      </c>
      <c r="E1663" t="s">
        <v>3235</v>
      </c>
    </row>
    <row r="1664" spans="1:5" x14ac:dyDescent="0.35">
      <c r="A1664" t="s">
        <v>10</v>
      </c>
      <c r="B1664" t="s">
        <v>3237</v>
      </c>
      <c r="C1664" t="str">
        <f t="shared" si="25"/>
        <v xml:space="preserve">EmailCreate messaging that elevates the business value of I&amp;O conversation.
</v>
      </c>
      <c r="D1664" t="s">
        <v>3238</v>
      </c>
      <c r="E1664" t="s">
        <v>3239</v>
      </c>
    </row>
    <row r="1665" spans="1:5" x14ac:dyDescent="0.35">
      <c r="A1665" t="s">
        <v>10</v>
      </c>
      <c r="B1665" t="s">
        <v>3240</v>
      </c>
      <c r="C1665" t="str">
        <f t="shared" si="25"/>
        <v xml:space="preserve">EmailCreate metrics that map to business leaders' priorities
</v>
      </c>
      <c r="D1665" t="s">
        <v>3241</v>
      </c>
      <c r="E1665" t="s">
        <v>3242</v>
      </c>
    </row>
    <row r="1666" spans="1:5" x14ac:dyDescent="0.35">
      <c r="A1666" t="s">
        <v>10</v>
      </c>
      <c r="B1666" t="s">
        <v>3254</v>
      </c>
      <c r="C1666" t="str">
        <f t="shared" si="25"/>
        <v xml:space="preserve">EmailStart with research to elevate your VMO from defined stage to matured stage </v>
      </c>
      <c r="D1666" t="s">
        <v>3255</v>
      </c>
      <c r="E1666" t="s">
        <v>3256</v>
      </c>
    </row>
    <row r="1667" spans="1:5" x14ac:dyDescent="0.35">
      <c r="A1667" t="s">
        <v>10</v>
      </c>
      <c r="B1667" t="s">
        <v>3258</v>
      </c>
      <c r="C1667" t="str">
        <f t="shared" ref="C1667:C1730" si="26">CONCATENATE(A1667,B1667)</f>
        <v>EmailUse this slide deck in your planning for 2018 and in your presentations to your leadership, peers and teams</v>
      </c>
      <c r="D1667" t="s">
        <v>3259</v>
      </c>
      <c r="E1667" t="s">
        <v>3260</v>
      </c>
    </row>
    <row r="1668" spans="1:5" x14ac:dyDescent="0.35">
      <c r="A1668" t="s">
        <v>10</v>
      </c>
      <c r="B1668" t="s">
        <v>3263</v>
      </c>
      <c r="C1668" t="str">
        <f t="shared" si="26"/>
        <v>EmailCreate your own roadmap for VMO by reading research</v>
      </c>
      <c r="D1668" t="s">
        <v>3264</v>
      </c>
      <c r="E1668" t="s">
        <v>1282</v>
      </c>
    </row>
    <row r="1669" spans="1:5" x14ac:dyDescent="0.35">
      <c r="A1669" t="s">
        <v>10</v>
      </c>
      <c r="B1669" t="s">
        <v>3265</v>
      </c>
      <c r="C1669" t="str">
        <f t="shared" si="26"/>
        <v>EmailLeverage research to develop a consistent model that improves and advances technology vendor management</v>
      </c>
      <c r="D1669" t="s">
        <v>3266</v>
      </c>
      <c r="E1669" t="s">
        <v>3075</v>
      </c>
    </row>
    <row r="1670" spans="1:5" x14ac:dyDescent="0.35">
      <c r="A1670" t="s">
        <v>10</v>
      </c>
      <c r="B1670" t="s">
        <v>3272</v>
      </c>
      <c r="C1670" t="str">
        <f t="shared" si="26"/>
        <v>EmailTo fill the critical gaps in your vendor management, leverage</v>
      </c>
      <c r="D1670" t="s">
        <v>3273</v>
      </c>
      <c r="E1670" t="s">
        <v>2648</v>
      </c>
    </row>
    <row r="1671" spans="1:5" x14ac:dyDescent="0.35">
      <c r="A1671" t="s">
        <v>10</v>
      </c>
      <c r="B1671" t="s">
        <v>3274</v>
      </c>
      <c r="C1671" t="str">
        <f t="shared" si="26"/>
        <v>EmailAdopt new measures and methods to optimize vendor performance in "fast-track" IT initiatives</v>
      </c>
      <c r="D1671" t="s">
        <v>3275</v>
      </c>
      <c r="E1671" t="s">
        <v>3276</v>
      </c>
    </row>
    <row r="1672" spans="1:5" x14ac:dyDescent="0.35">
      <c r="A1672" t="s">
        <v>10</v>
      </c>
      <c r="B1672" t="s">
        <v>3277</v>
      </c>
      <c r="C1672" t="str">
        <f t="shared" si="26"/>
        <v>EmailRead research to advance the delivery capabilities of your technology vendor management discipline</v>
      </c>
      <c r="D1672" t="s">
        <v>1306</v>
      </c>
      <c r="E1672" t="s">
        <v>1307</v>
      </c>
    </row>
    <row r="1673" spans="1:5" x14ac:dyDescent="0.35">
      <c r="A1673" t="s">
        <v>10</v>
      </c>
      <c r="B1673" t="s">
        <v>3281</v>
      </c>
      <c r="C1673" t="str">
        <f t="shared" si="26"/>
        <v xml:space="preserve">EmailIdentify your critical vendors using </v>
      </c>
      <c r="D1673" t="s">
        <v>1299</v>
      </c>
      <c r="E1673" t="s">
        <v>3105</v>
      </c>
    </row>
    <row r="1674" spans="1:5" x14ac:dyDescent="0.35">
      <c r="A1674" t="s">
        <v>10</v>
      </c>
      <c r="B1674" t="s">
        <v>3283</v>
      </c>
      <c r="C1674" t="str">
        <f t="shared" si="26"/>
        <v>EmailReview research to develop timely and relevant vendor performance scorecards</v>
      </c>
      <c r="D1674" t="s">
        <v>3284</v>
      </c>
      <c r="E1674" t="s">
        <v>1302</v>
      </c>
    </row>
    <row r="1675" spans="1:5" x14ac:dyDescent="0.35">
      <c r="A1675" t="s">
        <v>10</v>
      </c>
      <c r="B1675" t="s">
        <v>3287</v>
      </c>
      <c r="C1675" t="str">
        <f t="shared" si="26"/>
        <v>EmailUse this to develop KPIs and performance metrics that extend beyond cost and align with broader strategic and operational goals of the enterprise</v>
      </c>
      <c r="D1675" t="s">
        <v>1319</v>
      </c>
      <c r="E1675" t="s">
        <v>3288</v>
      </c>
    </row>
    <row r="1676" spans="1:5" x14ac:dyDescent="0.35">
      <c r="A1676" t="s">
        <v>10</v>
      </c>
      <c r="B1676" t="s">
        <v>3290</v>
      </c>
      <c r="C1676" t="str">
        <f t="shared" si="26"/>
        <v>EmailReview Research to achieve specific, measurable and transformative business outcomes through implementation of an AI strategy</v>
      </c>
      <c r="D1676" t="s">
        <v>3291</v>
      </c>
      <c r="E1676" t="s">
        <v>3292</v>
      </c>
    </row>
    <row r="1677" spans="1:5" x14ac:dyDescent="0.35">
      <c r="A1677" t="s">
        <v>10</v>
      </c>
      <c r="B1677" t="s">
        <v>3293</v>
      </c>
      <c r="C1677" t="str">
        <f t="shared" si="26"/>
        <v>EmailBefore commencing AI projects, understand the vertical and horizontal use cases using the following documents</v>
      </c>
      <c r="D1677" t="s">
        <v>375</v>
      </c>
      <c r="E1677" t="s">
        <v>3294</v>
      </c>
    </row>
    <row r="1678" spans="1:5" x14ac:dyDescent="0.35">
      <c r="A1678" t="s">
        <v>10</v>
      </c>
      <c r="B1678" t="s">
        <v>3298</v>
      </c>
      <c r="C1678" t="str">
        <f t="shared" si="26"/>
        <v>EmailReview foundational Research material to understand how to employ AI and deliver critical business outcomes even with scarce resources</v>
      </c>
      <c r="D1678" t="s">
        <v>3299</v>
      </c>
      <c r="E1678" t="s">
        <v>3300</v>
      </c>
    </row>
    <row r="1679" spans="1:5" x14ac:dyDescent="0.35">
      <c r="A1679" t="s">
        <v>10</v>
      </c>
      <c r="B1679" t="s">
        <v>3301</v>
      </c>
      <c r="C1679" t="str">
        <f t="shared" si="26"/>
        <v>EmailRefer to Research for a step by step approach on modifying IT operations tasks and processes</v>
      </c>
      <c r="D1679" t="s">
        <v>3302</v>
      </c>
      <c r="E1679" t="s">
        <v>3303</v>
      </c>
    </row>
    <row r="1680" spans="1:5" x14ac:dyDescent="0.35">
      <c r="A1680" t="s">
        <v>10</v>
      </c>
      <c r="B1680" t="s">
        <v>3308</v>
      </c>
      <c r="C1680" t="str">
        <f t="shared" si="26"/>
        <v>EmailUse below Research to understand goodness of fit to business needs, not supplier consolidation</v>
      </c>
      <c r="D1680" t="s">
        <v>3309</v>
      </c>
      <c r="E1680" t="s">
        <v>3310</v>
      </c>
    </row>
    <row r="1681" spans="1:5" x14ac:dyDescent="0.35">
      <c r="A1681" t="s">
        <v>10</v>
      </c>
      <c r="B1681" t="s">
        <v>3318</v>
      </c>
      <c r="C1681" t="str">
        <f t="shared" si="26"/>
        <v>EmailRefer to Research on how to apply AI for collaboration, content, human resources, smart workplaces, help desk, knowledge management</v>
      </c>
      <c r="D1681" t="s">
        <v>2911</v>
      </c>
      <c r="E1681" t="s">
        <v>2912</v>
      </c>
    </row>
    <row r="1682" spans="1:5" x14ac:dyDescent="0.35">
      <c r="A1682" t="s">
        <v>10</v>
      </c>
      <c r="B1682" t="s">
        <v>3321</v>
      </c>
      <c r="C1682" t="str">
        <f t="shared" si="26"/>
        <v>EmailRefer to Research for understanding how to solve integration problems using AI by improving automation, engagement and insight</v>
      </c>
      <c r="D1682" t="s">
        <v>3322</v>
      </c>
      <c r="E1682" t="s">
        <v>3323</v>
      </c>
    </row>
    <row r="1683" spans="1:5" x14ac:dyDescent="0.35">
      <c r="A1683" t="s">
        <v>10</v>
      </c>
      <c r="B1683" t="s">
        <v>3329</v>
      </c>
      <c r="C1683" t="str">
        <f t="shared" si="26"/>
        <v xml:space="preserve">EmailStart with foundational Research </v>
      </c>
      <c r="D1683" t="s">
        <v>3330</v>
      </c>
      <c r="E1683" t="s">
        <v>3331</v>
      </c>
    </row>
    <row r="1684" spans="1:5" x14ac:dyDescent="0.35">
      <c r="A1684" t="s">
        <v>10</v>
      </c>
      <c r="B1684" t="s">
        <v>3334</v>
      </c>
      <c r="C1684" t="str">
        <f t="shared" si="26"/>
        <v xml:space="preserve">EmailGain insights on building a common enterprise-level view of IT services, and use it as a service allocation mechanism, from document </v>
      </c>
      <c r="D1684" t="s">
        <v>3335</v>
      </c>
      <c r="E1684" t="s">
        <v>3336</v>
      </c>
    </row>
    <row r="1685" spans="1:5" x14ac:dyDescent="0.35">
      <c r="A1685" t="s">
        <v>10</v>
      </c>
      <c r="B1685" t="s">
        <v>3338</v>
      </c>
      <c r="C1685" t="str">
        <f t="shared" si="26"/>
        <v xml:space="preserve">EmailResearch </v>
      </c>
      <c r="D1685" t="s">
        <v>3339</v>
      </c>
      <c r="E1685" t="s">
        <v>3340</v>
      </c>
    </row>
    <row r="1686" spans="1:5" x14ac:dyDescent="0.35">
      <c r="A1686" t="s">
        <v>10</v>
      </c>
      <c r="B1686" t="s">
        <v>3342</v>
      </c>
      <c r="C1686" t="str">
        <f t="shared" si="26"/>
        <v>EmailConsult with Analyst for IT service automation solutions</v>
      </c>
    </row>
    <row r="1687" spans="1:5" x14ac:dyDescent="0.35">
      <c r="A1687" t="s">
        <v>10</v>
      </c>
      <c r="B1687" t="s">
        <v>3338</v>
      </c>
      <c r="C1687" t="str">
        <f t="shared" si="26"/>
        <v xml:space="preserve">EmailResearch </v>
      </c>
      <c r="D1687" t="s">
        <v>3343</v>
      </c>
      <c r="E1687" t="s">
        <v>3336</v>
      </c>
    </row>
    <row r="1688" spans="1:5" x14ac:dyDescent="0.35">
      <c r="A1688" t="s">
        <v>10</v>
      </c>
      <c r="B1688" t="s">
        <v>3344</v>
      </c>
      <c r="C1688" t="str">
        <f t="shared" si="26"/>
        <v>EmailReview Research to understand tool implementation best practices</v>
      </c>
      <c r="D1688" t="s">
        <v>3345</v>
      </c>
      <c r="E1688" t="s">
        <v>3346</v>
      </c>
    </row>
    <row r="1689" spans="1:5" x14ac:dyDescent="0.35">
      <c r="A1689" t="s">
        <v>10</v>
      </c>
      <c r="B1689" t="s">
        <v>3347</v>
      </c>
      <c r="C1689" t="str">
        <f t="shared" si="26"/>
        <v>EmailUse Research to build a well-planned and managed service improvement initiative that deliver benefits beyond efficiency</v>
      </c>
      <c r="D1689" t="s">
        <v>1885</v>
      </c>
      <c r="E1689" t="s">
        <v>3348</v>
      </c>
    </row>
    <row r="1690" spans="1:5" x14ac:dyDescent="0.35">
      <c r="A1690" t="s">
        <v>10</v>
      </c>
      <c r="B1690" t="s">
        <v>3356</v>
      </c>
      <c r="C1690" t="str">
        <f t="shared" si="26"/>
        <v xml:space="preserve">EmailUse below research to expand the scope of the SMO to address strategic IT services and communicate business value to business executives </v>
      </c>
      <c r="D1690" t="s">
        <v>3357</v>
      </c>
      <c r="E1690" t="s">
        <v>3358</v>
      </c>
    </row>
    <row r="1691" spans="1:5" x14ac:dyDescent="0.35">
      <c r="A1691" t="s">
        <v>10</v>
      </c>
      <c r="B1691" t="s">
        <v>3366</v>
      </c>
      <c r="C1691" t="str">
        <f t="shared" si="26"/>
        <v>EmailRefer to Research for key insights into Bimodal transformation</v>
      </c>
      <c r="D1691" t="s">
        <v>3142</v>
      </c>
      <c r="E1691" t="s">
        <v>3367</v>
      </c>
    </row>
    <row r="1692" spans="1:5" x14ac:dyDescent="0.35">
      <c r="A1692" t="s">
        <v>10</v>
      </c>
      <c r="B1692" t="s">
        <v>3369</v>
      </c>
      <c r="C1692" t="str">
        <f t="shared" si="26"/>
        <v xml:space="preserve">EmailTo deliver market-differentiating strategies and practices that can scale with business ambitions </v>
      </c>
      <c r="D1692" t="s">
        <v>3370</v>
      </c>
      <c r="E1692" t="s">
        <v>3371</v>
      </c>
    </row>
    <row r="1693" spans="1:5" x14ac:dyDescent="0.35">
      <c r="A1693" t="s">
        <v>10</v>
      </c>
      <c r="B1693" t="s">
        <v>3378</v>
      </c>
      <c r="C1693" t="str">
        <f t="shared" si="26"/>
        <v>EmailUse Gartner data and analytics compass to build a good data and analytics strategy. Read :</v>
      </c>
      <c r="D1693" t="s">
        <v>3379</v>
      </c>
      <c r="E1693" t="s">
        <v>3380</v>
      </c>
    </row>
    <row r="1694" spans="1:5" x14ac:dyDescent="0.35">
      <c r="A1694" t="s">
        <v>10</v>
      </c>
      <c r="B1694" t="s">
        <v>3382</v>
      </c>
      <c r="C1694" t="str">
        <f t="shared" si="26"/>
        <v xml:space="preserve">EmailTo begin the journey of logical data warehouse </v>
      </c>
      <c r="D1694" t="s">
        <v>3383</v>
      </c>
      <c r="E1694" t="s">
        <v>3384</v>
      </c>
    </row>
    <row r="1695" spans="1:5" x14ac:dyDescent="0.35">
      <c r="A1695" t="s">
        <v>10</v>
      </c>
      <c r="B1695" t="s">
        <v>3391</v>
      </c>
      <c r="C1695" t="str">
        <f t="shared" si="26"/>
        <v>EmailTo increase the business impact through data visualization and dashboards</v>
      </c>
      <c r="D1695" t="s">
        <v>3392</v>
      </c>
      <c r="E1695" t="s">
        <v>3393</v>
      </c>
    </row>
    <row r="1696" spans="1:5" x14ac:dyDescent="0.35">
      <c r="A1696" t="s">
        <v>10</v>
      </c>
      <c r="B1696" t="s">
        <v>3394</v>
      </c>
      <c r="C1696" t="str">
        <f t="shared" si="26"/>
        <v>EmailUtilize Peer Connect to choose Oracle or SAP for Data Warehouse</v>
      </c>
      <c r="D1696" t="s">
        <v>3395</v>
      </c>
      <c r="E1696" t="s">
        <v>3396</v>
      </c>
    </row>
    <row r="1697" spans="1:5" x14ac:dyDescent="0.35">
      <c r="A1697" t="s">
        <v>10</v>
      </c>
      <c r="B1697" t="s">
        <v>3406</v>
      </c>
      <c r="C1697" t="str">
        <f t="shared" si="26"/>
        <v>EmailTo adopt augmented analytics as platform capabilities mature</v>
      </c>
      <c r="D1697" t="s">
        <v>3407</v>
      </c>
      <c r="E1697" t="s">
        <v>3408</v>
      </c>
    </row>
    <row r="1698" spans="1:5" x14ac:dyDescent="0.35">
      <c r="A1698" t="s">
        <v>10</v>
      </c>
      <c r="B1698" t="s">
        <v>3410</v>
      </c>
      <c r="C1698" t="str">
        <f t="shared" si="26"/>
        <v>EmailReview Research to smoothen the transition to a cloud office system and delivering greater value</v>
      </c>
    </row>
    <row r="1699" spans="1:5" x14ac:dyDescent="0.35">
      <c r="A1699" t="s">
        <v>10</v>
      </c>
      <c r="B1699" t="s">
        <v>3412</v>
      </c>
      <c r="C1699" t="str">
        <f t="shared" si="26"/>
        <v>EmailReview Research to smoothen the transition to a cloud office system and deliver greater value</v>
      </c>
      <c r="D1699" t="s">
        <v>3413</v>
      </c>
      <c r="E1699" t="s">
        <v>3414</v>
      </c>
    </row>
    <row r="1700" spans="1:5" x14ac:dyDescent="0.35">
      <c r="A1700" t="s">
        <v>10</v>
      </c>
      <c r="B1700" t="s">
        <v>3417</v>
      </c>
      <c r="C1700" t="str">
        <f t="shared" si="26"/>
        <v>EmailReview Toolkit to prioritize the criteria for making cloud office system decisions, and capture specific evaluations as they apply to the organization</v>
      </c>
      <c r="D1700" t="s">
        <v>3418</v>
      </c>
      <c r="E1700" t="s">
        <v>3419</v>
      </c>
    </row>
    <row r="1701" spans="1:5" x14ac:dyDescent="0.35">
      <c r="A1701" t="s">
        <v>10</v>
      </c>
      <c r="B1701" t="s">
        <v>3420</v>
      </c>
      <c r="C1701" t="str">
        <f t="shared" si="26"/>
        <v>EmailPublic cloud IaaS is not a commodity, and providers differ on the depth and breadth of their capabilities. Use research for strategic selections</v>
      </c>
      <c r="D1701" t="s">
        <v>3421</v>
      </c>
      <c r="E1701" t="s">
        <v>3422</v>
      </c>
    </row>
    <row r="1702" spans="1:5" x14ac:dyDescent="0.35">
      <c r="A1702" t="s">
        <v>10</v>
      </c>
      <c r="B1702" t="s">
        <v>3423</v>
      </c>
      <c r="C1702" t="str">
        <f t="shared" si="26"/>
        <v>EmailReview below Research and follow up with an analyst for gaining greater insights</v>
      </c>
      <c r="D1702" t="s">
        <v>3424</v>
      </c>
      <c r="E1702" t="s">
        <v>3425</v>
      </c>
    </row>
    <row r="1703" spans="1:5" x14ac:dyDescent="0.35">
      <c r="A1703" t="s">
        <v>10</v>
      </c>
      <c r="B1703" t="s">
        <v>3427</v>
      </c>
      <c r="C1703" t="str">
        <f t="shared" si="26"/>
        <v>EmailLeverage Research to pursue opportunities for future enhancements with third-party tools</v>
      </c>
      <c r="D1703" t="s">
        <v>3428</v>
      </c>
      <c r="E1703" t="s">
        <v>3429</v>
      </c>
    </row>
    <row r="1704" spans="1:5" x14ac:dyDescent="0.35">
      <c r="A1704" t="s">
        <v>10</v>
      </c>
      <c r="B1704" t="s">
        <v>3436</v>
      </c>
      <c r="C1704" t="str">
        <f t="shared" si="26"/>
        <v>EmailRefer to foundational research on implementation strategies</v>
      </c>
      <c r="D1704" t="s">
        <v>2224</v>
      </c>
      <c r="E1704" t="s">
        <v>2225</v>
      </c>
    </row>
    <row r="1705" spans="1:5" x14ac:dyDescent="0.35">
      <c r="A1705" t="s">
        <v>10</v>
      </c>
      <c r="B1705" t="s">
        <v>3437</v>
      </c>
      <c r="C1705" t="str">
        <f t="shared" si="26"/>
        <v>EmailLeverage Research for continuous adoption of cloud office services within a digital workplace</v>
      </c>
      <c r="D1705" t="s">
        <v>3438</v>
      </c>
      <c r="E1705" t="s">
        <v>3439</v>
      </c>
    </row>
    <row r="1706" spans="1:5" x14ac:dyDescent="0.35">
      <c r="A1706" t="s">
        <v>10</v>
      </c>
      <c r="B1706" t="s">
        <v>3441</v>
      </c>
      <c r="C1706" t="str">
        <f t="shared" si="26"/>
        <v xml:space="preserve">EmailReview Research to understand how to make IT more adaptive, accelerate IT clock speed, and flex between different modes of business collaboration </v>
      </c>
      <c r="D1706" t="s">
        <v>3442</v>
      </c>
      <c r="E1706" t="s">
        <v>3443</v>
      </c>
    </row>
    <row r="1707" spans="1:5" x14ac:dyDescent="0.35">
      <c r="A1707" t="s">
        <v>10</v>
      </c>
      <c r="B1707" t="s">
        <v>3444</v>
      </c>
      <c r="C1707" t="str">
        <f t="shared" si="26"/>
        <v>EmailUse Research to maintain a balanced long-term view</v>
      </c>
      <c r="D1707" t="s">
        <v>3445</v>
      </c>
      <c r="E1707" t="s">
        <v>3446</v>
      </c>
    </row>
    <row r="1708" spans="1:5" x14ac:dyDescent="0.35">
      <c r="A1708" t="s">
        <v>10</v>
      </c>
      <c r="B1708" t="s">
        <v>3450</v>
      </c>
      <c r="C1708" t="str">
        <f t="shared" si="26"/>
        <v>EmailReview Research to monitor the inclusion and maturation of AI in SaaS applications, such as Google G Suite and Microsoft Office 365</v>
      </c>
      <c r="D1708" t="s">
        <v>3451</v>
      </c>
      <c r="E1708" t="s">
        <v>3452</v>
      </c>
    </row>
    <row r="1709" spans="1:5" x14ac:dyDescent="0.35">
      <c r="A1709" t="s">
        <v>10</v>
      </c>
      <c r="B1709" t="s">
        <v>3454</v>
      </c>
      <c r="C1709" t="str">
        <f t="shared" si="26"/>
        <v xml:space="preserve">EmailEnable Mode 2 capabilities, while sharing knowledge and bridging the modes   </v>
      </c>
      <c r="D1709" t="s">
        <v>3455</v>
      </c>
      <c r="E1709" t="s">
        <v>3456</v>
      </c>
    </row>
    <row r="1710" spans="1:5" x14ac:dyDescent="0.35">
      <c r="A1710" t="s">
        <v>10</v>
      </c>
      <c r="B1710" t="s">
        <v>3459</v>
      </c>
      <c r="C1710" t="str">
        <f t="shared" si="26"/>
        <v xml:space="preserve">EmailEight foundational steps that I&amp;O leaders must take to establish a successful DevOps initiative  </v>
      </c>
      <c r="D1710" t="s">
        <v>2593</v>
      </c>
      <c r="E1710" t="s">
        <v>3460</v>
      </c>
    </row>
    <row r="1711" spans="1:5" x14ac:dyDescent="0.35">
      <c r="A1711" t="s">
        <v>10</v>
      </c>
      <c r="B1711" t="s">
        <v>3461</v>
      </c>
      <c r="C1711" t="str">
        <f t="shared" si="26"/>
        <v>EmailI&amp;O leaders must redefine the mission of IT operations to focus on delivering positive business outcomes. To understand more, view</v>
      </c>
      <c r="D1711" t="s">
        <v>3462</v>
      </c>
      <c r="E1711" t="s">
        <v>3463</v>
      </c>
    </row>
    <row r="1712" spans="1:5" x14ac:dyDescent="0.35">
      <c r="A1712" t="s">
        <v>10</v>
      </c>
      <c r="B1712" t="s">
        <v>3465</v>
      </c>
      <c r="C1712" t="str">
        <f t="shared" si="26"/>
        <v>EmailEnsure organizational success by prioritizing capabilities in the DevOps toolchain to achieve business objectives</v>
      </c>
      <c r="D1712" t="s">
        <v>2603</v>
      </c>
      <c r="E1712" t="s">
        <v>2604</v>
      </c>
    </row>
    <row r="1713" spans="1:5" x14ac:dyDescent="0.35">
      <c r="A1713" t="s">
        <v>10</v>
      </c>
      <c r="B1713" t="s">
        <v>3466</v>
      </c>
      <c r="C1713" t="str">
        <f t="shared" si="26"/>
        <v>EmailUse DevOps toolchain orchestration to meet speed and efficiency expectations</v>
      </c>
      <c r="D1713" t="s">
        <v>3467</v>
      </c>
      <c r="E1713" t="s">
        <v>3468</v>
      </c>
    </row>
    <row r="1714" spans="1:5" x14ac:dyDescent="0.35">
      <c r="A1714" t="s">
        <v>10</v>
      </c>
      <c r="B1714" t="s">
        <v>3471</v>
      </c>
      <c r="C1714" t="str">
        <f t="shared" si="26"/>
        <v xml:space="preserve">EmailReview Research on where to start and then scale Mode 2 </v>
      </c>
      <c r="D1714" t="s">
        <v>3472</v>
      </c>
      <c r="E1714" t="s">
        <v>3473</v>
      </c>
    </row>
    <row r="1715" spans="1:5" x14ac:dyDescent="0.35">
      <c r="A1715" t="s">
        <v>10</v>
      </c>
      <c r="B1715" t="s">
        <v>3474</v>
      </c>
      <c r="C1715" t="str">
        <f t="shared" si="26"/>
        <v xml:space="preserve">EmailReview Research to improve people component in order to optimize IT operations and drive business value </v>
      </c>
      <c r="D1715" t="s">
        <v>3475</v>
      </c>
      <c r="E1715" t="s">
        <v>3476</v>
      </c>
    </row>
    <row r="1716" spans="1:5" x14ac:dyDescent="0.35">
      <c r="A1716" t="s">
        <v>10</v>
      </c>
      <c r="B1716" t="s">
        <v>3478</v>
      </c>
      <c r="C1716" t="str">
        <f t="shared" si="26"/>
        <v xml:space="preserve">EmailTo realize steady process improvement and agility while growing a DevOps initiative  </v>
      </c>
      <c r="D1716" t="s">
        <v>1531</v>
      </c>
      <c r="E1716" t="s">
        <v>1532</v>
      </c>
    </row>
    <row r="1717" spans="1:5" x14ac:dyDescent="0.35">
      <c r="A1717" t="s">
        <v>10</v>
      </c>
      <c r="B1717" t="s">
        <v>3479</v>
      </c>
      <c r="C1717" t="str">
        <f t="shared" si="26"/>
        <v>EmailAccelerate the cultural and behavioral shift needed to maximize throughput via continuous integration and delivery by promoting DevOps release</v>
      </c>
      <c r="D1717" t="s">
        <v>3480</v>
      </c>
      <c r="E1717" t="s">
        <v>3481</v>
      </c>
    </row>
    <row r="1718" spans="1:5" x14ac:dyDescent="0.35">
      <c r="A1718" t="s">
        <v>10</v>
      </c>
      <c r="B1718" t="s">
        <v>3484</v>
      </c>
      <c r="C1718" t="str">
        <f t="shared" si="26"/>
        <v>EmailTo identify areas for improvement and promote collaborative culture</v>
      </c>
      <c r="D1718" t="s">
        <v>1534</v>
      </c>
      <c r="E1718" t="s">
        <v>1535</v>
      </c>
    </row>
    <row r="1719" spans="1:5" x14ac:dyDescent="0.35">
      <c r="A1719" t="s">
        <v>10</v>
      </c>
      <c r="B1719" t="s">
        <v>3485</v>
      </c>
      <c r="C1719" t="str">
        <f t="shared" si="26"/>
        <v>EmailLeverage Research on how DevOps initiatives should ensure that their teams adopt its core principles and practices</v>
      </c>
      <c r="D1719" t="s">
        <v>3486</v>
      </c>
      <c r="E1719" t="s">
        <v>3487</v>
      </c>
    </row>
    <row r="1720" spans="1:5" x14ac:dyDescent="0.35">
      <c r="A1720" t="s">
        <v>10</v>
      </c>
      <c r="B1720" t="s">
        <v>3488</v>
      </c>
      <c r="C1720" t="str">
        <f t="shared" si="26"/>
        <v>EmailMeasuring the value of business terms in ways that the business stakeholders can understand — there is a price to pay for becoming agile</v>
      </c>
      <c r="D1720" t="s">
        <v>3489</v>
      </c>
      <c r="E1720" t="s">
        <v>3490</v>
      </c>
    </row>
    <row r="1721" spans="1:5" x14ac:dyDescent="0.35">
      <c r="A1721" t="s">
        <v>10</v>
      </c>
      <c r="B1721" t="s">
        <v>3497</v>
      </c>
      <c r="C1721" t="str">
        <f t="shared" si="26"/>
        <v xml:space="preserve">EmailStart with research for a step by step approach to deliver a more agile environment using commercial off-the-shelf infrastructure </v>
      </c>
      <c r="D1721" t="s">
        <v>2126</v>
      </c>
      <c r="E1721" t="s">
        <v>2127</v>
      </c>
    </row>
    <row r="1722" spans="1:5" x14ac:dyDescent="0.35">
      <c r="A1722" t="s">
        <v>10</v>
      </c>
      <c r="B1722" t="s">
        <v>3498</v>
      </c>
      <c r="C1722" t="str">
        <f t="shared" si="26"/>
        <v>EmailReview Research on identifying which infrastructures can be standardized, virtualized, moved to the cloud or retired</v>
      </c>
      <c r="D1722" t="s">
        <v>3499</v>
      </c>
      <c r="E1722" t="s">
        <v>3500</v>
      </c>
    </row>
    <row r="1723" spans="1:5" x14ac:dyDescent="0.35">
      <c r="A1723" t="s">
        <v>10</v>
      </c>
      <c r="B1723" t="s">
        <v>3502</v>
      </c>
      <c r="C1723" t="str">
        <f t="shared" si="26"/>
        <v>EmailReview Research to determine the strategies and opportunities open to modernize legacy systems using the cloud</v>
      </c>
      <c r="D1723" t="s">
        <v>1822</v>
      </c>
      <c r="E1723" t="s">
        <v>3503</v>
      </c>
    </row>
    <row r="1724" spans="1:5" x14ac:dyDescent="0.35">
      <c r="A1724" t="s">
        <v>10</v>
      </c>
      <c r="B1724" t="s">
        <v>3508</v>
      </c>
      <c r="C1724" t="str">
        <f t="shared" si="26"/>
        <v>EmailReview below Research for different cloud complementary approaches</v>
      </c>
      <c r="D1724" t="s">
        <v>3509</v>
      </c>
      <c r="E1724" t="s">
        <v>3510</v>
      </c>
    </row>
    <row r="1725" spans="1:5" x14ac:dyDescent="0.35">
      <c r="A1725" t="s">
        <v>10</v>
      </c>
      <c r="B1725" t="s">
        <v>3511</v>
      </c>
      <c r="C1725" t="str">
        <f t="shared" si="26"/>
        <v xml:space="preserve">EmailSD-WAN Economics: Shift From Tactical to Strategic Thinking </v>
      </c>
      <c r="D1725" t="s">
        <v>1729</v>
      </c>
      <c r="E1725" t="s">
        <v>1730</v>
      </c>
    </row>
    <row r="1726" spans="1:5" x14ac:dyDescent="0.35">
      <c r="A1726" t="s">
        <v>10</v>
      </c>
      <c r="B1726" t="s">
        <v>3514</v>
      </c>
      <c r="C1726" t="str">
        <f t="shared" si="26"/>
        <v>EmailReview Research to improve agility, recognizing that not all service aspects can improve via SD-WAN alone</v>
      </c>
      <c r="D1726" t="s">
        <v>1732</v>
      </c>
      <c r="E1726" t="s">
        <v>1733</v>
      </c>
    </row>
    <row r="1727" spans="1:5" x14ac:dyDescent="0.35">
      <c r="A1727" t="s">
        <v>10</v>
      </c>
      <c r="B1727" t="s">
        <v>3516</v>
      </c>
      <c r="C1727" t="str">
        <f t="shared" si="26"/>
        <v>EmailReview the below research documents to understand the future of storage optimization</v>
      </c>
      <c r="D1727" t="s">
        <v>3517</v>
      </c>
      <c r="E1727" t="s">
        <v>3518</v>
      </c>
    </row>
    <row r="1728" spans="1:5" x14ac:dyDescent="0.35">
      <c r="A1728" t="s">
        <v>10</v>
      </c>
      <c r="B1728" t="s">
        <v>3516</v>
      </c>
      <c r="C1728" t="str">
        <f t="shared" si="26"/>
        <v>EmailReview the below research documents to understand the future of storage optimization</v>
      </c>
      <c r="D1728" t="s">
        <v>3519</v>
      </c>
      <c r="E1728" t="s">
        <v>3520</v>
      </c>
    </row>
    <row r="1729" spans="1:5" x14ac:dyDescent="0.35">
      <c r="A1729" t="s">
        <v>10</v>
      </c>
      <c r="B1729" t="s">
        <v>3516</v>
      </c>
      <c r="C1729" t="str">
        <f t="shared" si="26"/>
        <v>EmailReview the below research documents to understand the future of storage optimization</v>
      </c>
      <c r="D1729" t="s">
        <v>3521</v>
      </c>
      <c r="E1729" t="s">
        <v>3522</v>
      </c>
    </row>
    <row r="1730" spans="1:5" x14ac:dyDescent="0.35">
      <c r="A1730" t="s">
        <v>10</v>
      </c>
      <c r="B1730" t="s">
        <v>3523</v>
      </c>
      <c r="C1730" t="str">
        <f t="shared" si="26"/>
        <v>Email Evaluate new digital business innovations, and deliberately incorporate them into their application strategies to deliver maximum business value</v>
      </c>
      <c r="D1730" t="s">
        <v>3524</v>
      </c>
      <c r="E1730" t="s">
        <v>3525</v>
      </c>
    </row>
    <row r="1731" spans="1:5" x14ac:dyDescent="0.35">
      <c r="A1731" t="s">
        <v>10</v>
      </c>
      <c r="B1731" t="s">
        <v>3534</v>
      </c>
      <c r="C1731" t="str">
        <f t="shared" ref="C1731:C1794" si="27">CONCATENATE(A1731,B1731)</f>
        <v>EmailResearch : To develop application strategies</v>
      </c>
      <c r="D1731" t="s">
        <v>3535</v>
      </c>
      <c r="E1731" t="s">
        <v>3536</v>
      </c>
    </row>
    <row r="1732" spans="1:5" x14ac:dyDescent="0.35">
      <c r="A1732" t="s">
        <v>10</v>
      </c>
      <c r="B1732" t="s">
        <v>3537</v>
      </c>
      <c r="C1732" t="str">
        <f t="shared" si="27"/>
        <v>EmailTo choose the modernization approach with the highest effect and value while also considering cost, risk and impact</v>
      </c>
      <c r="D1732" t="s">
        <v>1828</v>
      </c>
      <c r="E1732" t="s">
        <v>1829</v>
      </c>
    </row>
    <row r="1733" spans="1:5" x14ac:dyDescent="0.35">
      <c r="A1733" t="s">
        <v>10</v>
      </c>
      <c r="B1733" t="s">
        <v>3540</v>
      </c>
      <c r="C1733" t="str">
        <f t="shared" si="27"/>
        <v xml:space="preserve">EmailTo adopt a business-focused, multiplatform modernization strategy </v>
      </c>
      <c r="D1733" t="s">
        <v>3541</v>
      </c>
      <c r="E1733" t="s">
        <v>3542</v>
      </c>
    </row>
    <row r="1734" spans="1:5" x14ac:dyDescent="0.35">
      <c r="A1734" t="s">
        <v>10</v>
      </c>
      <c r="B1734" t="s">
        <v>3544</v>
      </c>
      <c r="C1734" t="str">
        <f t="shared" si="27"/>
        <v>EmailTo remove impediments and executing continuous business-driven modernization to provide optimum valu</v>
      </c>
      <c r="D1734" t="s">
        <v>1148</v>
      </c>
      <c r="E1734" t="s">
        <v>3545</v>
      </c>
    </row>
    <row r="1735" spans="1:5" x14ac:dyDescent="0.35">
      <c r="A1735" t="s">
        <v>10</v>
      </c>
      <c r="B1735" t="s">
        <v>3554</v>
      </c>
      <c r="C1735" t="str">
        <f t="shared" si="27"/>
        <v>EmailTo plan for these new technologies in their application strategies</v>
      </c>
      <c r="D1735" t="s">
        <v>3555</v>
      </c>
      <c r="E1735" t="s">
        <v>3556</v>
      </c>
    </row>
    <row r="1736" spans="1:5" x14ac:dyDescent="0.35">
      <c r="A1736" t="s">
        <v>10</v>
      </c>
      <c r="B1736" t="s">
        <v>3557</v>
      </c>
      <c r="C1736" t="str">
        <f t="shared" si="27"/>
        <v>EmailAs a starting document, leverage:</v>
      </c>
      <c r="D1736" t="s">
        <v>3558</v>
      </c>
      <c r="E1736" t="s">
        <v>3559</v>
      </c>
    </row>
    <row r="1737" spans="1:5" x14ac:dyDescent="0.35">
      <c r="A1737" t="s">
        <v>10</v>
      </c>
      <c r="B1737" t="s">
        <v>3561</v>
      </c>
      <c r="C1737" t="str">
        <f t="shared" si="27"/>
        <v>EmailUse this template to bridge and unify cloud strategy and cloud policy, leveraging:</v>
      </c>
      <c r="D1737" t="s">
        <v>3562</v>
      </c>
      <c r="E1737" t="s">
        <v>3563</v>
      </c>
    </row>
    <row r="1738" spans="1:5" x14ac:dyDescent="0.35">
      <c r="A1738" t="s">
        <v>10</v>
      </c>
      <c r="B1738" t="s">
        <v>3564</v>
      </c>
      <c r="C1738" t="str">
        <f t="shared" si="27"/>
        <v>EmailDevelop an overarching cloud strategy for the enterprise, leveraging:</v>
      </c>
      <c r="D1738" t="s">
        <v>2477</v>
      </c>
      <c r="E1738" t="s">
        <v>3565</v>
      </c>
    </row>
    <row r="1739" spans="1:5" x14ac:dyDescent="0.35">
      <c r="A1739" t="s">
        <v>10</v>
      </c>
      <c r="B1739" t="s">
        <v>3567</v>
      </c>
      <c r="C1739" t="str">
        <f t="shared" si="27"/>
        <v>EmailDevelop new approaches to securely and reliably leverage the benefits of SaaS, PaaS and IaaS, leveraging:</v>
      </c>
      <c r="D1739" t="s">
        <v>2491</v>
      </c>
      <c r="E1739" t="s">
        <v>3568</v>
      </c>
    </row>
    <row r="1740" spans="1:5" x14ac:dyDescent="0.35">
      <c r="A1740" t="s">
        <v>10</v>
      </c>
      <c r="B1740" t="s">
        <v>3573</v>
      </c>
      <c r="C1740" t="str">
        <f t="shared" si="27"/>
        <v>EmailUnderstand the scope of their responsibilities for security in the cloud</v>
      </c>
      <c r="D1740" t="s">
        <v>3574</v>
      </c>
      <c r="E1740" t="s">
        <v>3575</v>
      </c>
    </row>
    <row r="1741" spans="1:5" x14ac:dyDescent="0.35">
      <c r="A1741" t="s">
        <v>10</v>
      </c>
      <c r="B1741" t="s">
        <v>3576</v>
      </c>
      <c r="C1741" t="str">
        <f t="shared" si="27"/>
        <v>EmailFor technological innovation, adoption lifecycle, leverage</v>
      </c>
      <c r="D1741" t="s">
        <v>3577</v>
      </c>
      <c r="E1741" t="s">
        <v>3578</v>
      </c>
    </row>
    <row r="1742" spans="1:5" x14ac:dyDescent="0.35">
      <c r="A1742" t="s">
        <v>10</v>
      </c>
      <c r="B1742" t="s">
        <v>3583</v>
      </c>
      <c r="C1742" t="str">
        <f t="shared" si="27"/>
        <v>EmailFor vendor evaluation and selection, leverage:</v>
      </c>
      <c r="D1742" t="s">
        <v>3584</v>
      </c>
      <c r="E1742" t="s">
        <v>3585</v>
      </c>
    </row>
    <row r="1743" spans="1:5" x14ac:dyDescent="0.35">
      <c r="A1743" t="s">
        <v>10</v>
      </c>
      <c r="B1743" t="s">
        <v>3583</v>
      </c>
      <c r="C1743" t="str">
        <f t="shared" si="27"/>
        <v>EmailFor vendor evaluation and selection, leverage:</v>
      </c>
      <c r="D1743" t="s">
        <v>3586</v>
      </c>
      <c r="E1743" t="s">
        <v>3587</v>
      </c>
    </row>
    <row r="1744" spans="1:5" x14ac:dyDescent="0.35">
      <c r="A1744" t="s">
        <v>10</v>
      </c>
      <c r="B1744" t="s">
        <v>3588</v>
      </c>
      <c r="C1744" t="str">
        <f t="shared" si="27"/>
        <v>EmailFollow these 10 best practices learned from early adopters to ensure a successful deployment</v>
      </c>
      <c r="D1744" t="s">
        <v>3589</v>
      </c>
      <c r="E1744" t="s">
        <v>3590</v>
      </c>
    </row>
    <row r="1745" spans="1:5" x14ac:dyDescent="0.35">
      <c r="A1745" t="s">
        <v>10</v>
      </c>
      <c r="B1745" t="s">
        <v>3591</v>
      </c>
      <c r="C1745" t="str">
        <f t="shared" si="27"/>
        <v>EmailPrepare your cloud agreements and protect your company's interests</v>
      </c>
      <c r="D1745" t="s">
        <v>3592</v>
      </c>
      <c r="E1745" t="s">
        <v>3593</v>
      </c>
    </row>
    <row r="1746" spans="1:5" x14ac:dyDescent="0.35">
      <c r="A1746" t="s">
        <v>10</v>
      </c>
      <c r="B1746" t="s">
        <v>3596</v>
      </c>
      <c r="C1746" t="str">
        <f t="shared" si="27"/>
        <v>EmailBuild specific protections against cloud-specific risks into contracts, by leveraging:</v>
      </c>
      <c r="D1746" t="s">
        <v>3597</v>
      </c>
      <c r="E1746" t="s">
        <v>3598</v>
      </c>
    </row>
    <row r="1747" spans="1:5" x14ac:dyDescent="0.35">
      <c r="A1747" t="s">
        <v>10</v>
      </c>
      <c r="B1747" t="s">
        <v>3604</v>
      </c>
      <c r="C1747" t="str">
        <f t="shared" si="27"/>
        <v>EmailLeverage the research for launching, scaling and revitalizing DevOps initiatives</v>
      </c>
      <c r="D1747" t="s">
        <v>3455</v>
      </c>
      <c r="E1747" t="s">
        <v>3605</v>
      </c>
    </row>
    <row r="1748" spans="1:5" x14ac:dyDescent="0.35">
      <c r="A1748" t="s">
        <v>10</v>
      </c>
      <c r="B1748" t="s">
        <v>3606</v>
      </c>
      <c r="C1748" t="str">
        <f t="shared" si="27"/>
        <v>EmailLeverage the research to adopt these steps to establish a successful DevOps initiative</v>
      </c>
      <c r="D1748" t="s">
        <v>2593</v>
      </c>
      <c r="E1748" t="s">
        <v>3607</v>
      </c>
    </row>
    <row r="1749" spans="1:5" x14ac:dyDescent="0.35">
      <c r="A1749" t="s">
        <v>10</v>
      </c>
      <c r="B1749" t="s">
        <v>3612</v>
      </c>
      <c r="C1749" t="str">
        <f t="shared" si="27"/>
        <v>EmailUnderstand technology maturity cycle and adoption, leveraging</v>
      </c>
      <c r="D1749" t="s">
        <v>3613</v>
      </c>
      <c r="E1749" t="s">
        <v>3614</v>
      </c>
    </row>
    <row r="1750" spans="1:5" x14ac:dyDescent="0.35">
      <c r="A1750" t="s">
        <v>10</v>
      </c>
      <c r="B1750" t="s">
        <v>3615</v>
      </c>
      <c r="C1750" t="str">
        <f t="shared" si="27"/>
        <v xml:space="preserve">Email Use this research for a top-down view to design and implement toolchains </v>
      </c>
      <c r="D1750" t="s">
        <v>1525</v>
      </c>
      <c r="E1750" t="s">
        <v>3616</v>
      </c>
    </row>
    <row r="1751" spans="1:5" x14ac:dyDescent="0.35">
      <c r="A1751" t="s">
        <v>10</v>
      </c>
      <c r="B1751" t="s">
        <v>3620</v>
      </c>
      <c r="C1751" t="str">
        <f t="shared" si="27"/>
        <v xml:space="preserve">EmailBridge the gap between product development and platform operations to support continuous delivery </v>
      </c>
      <c r="D1751" t="s">
        <v>3480</v>
      </c>
      <c r="E1751" t="s">
        <v>3621</v>
      </c>
    </row>
    <row r="1752" spans="1:5" x14ac:dyDescent="0.35">
      <c r="A1752" t="s">
        <v>10</v>
      </c>
      <c r="B1752" t="s">
        <v>3623</v>
      </c>
      <c r="C1752" t="str">
        <f t="shared" si="27"/>
        <v xml:space="preserve">EmailFor process improvement and agility while growing a DevOps initiative, leverage </v>
      </c>
      <c r="D1752" t="s">
        <v>1531</v>
      </c>
      <c r="E1752" t="s">
        <v>3624</v>
      </c>
    </row>
    <row r="1753" spans="1:5" x14ac:dyDescent="0.35">
      <c r="A1753" t="s">
        <v>10</v>
      </c>
      <c r="B1753" t="s">
        <v>3626</v>
      </c>
      <c r="C1753" t="str">
        <f t="shared" si="27"/>
        <v>EmailFor vendor evaluation and selection, leverage</v>
      </c>
      <c r="D1753" t="s">
        <v>3627</v>
      </c>
      <c r="E1753" t="s">
        <v>3628</v>
      </c>
    </row>
    <row r="1754" spans="1:5" x14ac:dyDescent="0.35">
      <c r="A1754" t="s">
        <v>10</v>
      </c>
      <c r="B1754" t="s">
        <v>3626</v>
      </c>
      <c r="C1754" t="str">
        <f t="shared" si="27"/>
        <v>EmailFor vendor evaluation and selection, leverage</v>
      </c>
      <c r="D1754" t="s">
        <v>3629</v>
      </c>
      <c r="E1754" t="s">
        <v>3630</v>
      </c>
    </row>
    <row r="1755" spans="1:5" x14ac:dyDescent="0.35">
      <c r="A1755" t="s">
        <v>10</v>
      </c>
      <c r="B1755" t="s">
        <v>3635</v>
      </c>
      <c r="C1755" t="str">
        <f t="shared" si="27"/>
        <v>EmailIdentify potential improvement opportunities, leveraging:</v>
      </c>
      <c r="D1755" t="s">
        <v>3636</v>
      </c>
      <c r="E1755" t="s">
        <v>3637</v>
      </c>
    </row>
    <row r="1756" spans="1:5" x14ac:dyDescent="0.35">
      <c r="A1756" t="s">
        <v>10</v>
      </c>
      <c r="B1756" t="s">
        <v>3073</v>
      </c>
      <c r="C1756" t="str">
        <f t="shared" si="27"/>
        <v>EmailResearch</v>
      </c>
      <c r="D1756" t="s">
        <v>3641</v>
      </c>
      <c r="E1756" t="s">
        <v>3642</v>
      </c>
    </row>
    <row r="1757" spans="1:5" x14ac:dyDescent="0.35">
      <c r="A1757" t="s">
        <v>10</v>
      </c>
      <c r="B1757" t="s">
        <v>3338</v>
      </c>
      <c r="C1757" t="str">
        <f t="shared" si="27"/>
        <v xml:space="preserve">EmailResearch </v>
      </c>
      <c r="D1757" t="s">
        <v>3643</v>
      </c>
      <c r="E1757" t="s">
        <v>3644</v>
      </c>
    </row>
    <row r="1758" spans="1:5" x14ac:dyDescent="0.35">
      <c r="A1758" t="s">
        <v>10</v>
      </c>
      <c r="B1758" t="s">
        <v>3338</v>
      </c>
      <c r="C1758" t="str">
        <f t="shared" si="27"/>
        <v xml:space="preserve">EmailResearch </v>
      </c>
      <c r="D1758" t="s">
        <v>3645</v>
      </c>
      <c r="E1758" t="s">
        <v>3646</v>
      </c>
    </row>
    <row r="1759" spans="1:5" x14ac:dyDescent="0.35">
      <c r="A1759" t="s">
        <v>10</v>
      </c>
      <c r="B1759" t="s">
        <v>3338</v>
      </c>
      <c r="C1759" t="str">
        <f t="shared" si="27"/>
        <v xml:space="preserve">EmailResearch </v>
      </c>
      <c r="D1759" t="s">
        <v>3641</v>
      </c>
      <c r="E1759" t="s">
        <v>3642</v>
      </c>
    </row>
    <row r="1760" spans="1:5" x14ac:dyDescent="0.35">
      <c r="A1760" t="s">
        <v>10</v>
      </c>
      <c r="B1760" t="s">
        <v>3338</v>
      </c>
      <c r="C1760" t="str">
        <f t="shared" si="27"/>
        <v xml:space="preserve">EmailResearch </v>
      </c>
      <c r="D1760" t="s">
        <v>3649</v>
      </c>
      <c r="E1760" t="s">
        <v>3650</v>
      </c>
    </row>
    <row r="1761" spans="1:5" x14ac:dyDescent="0.35">
      <c r="A1761" t="s">
        <v>10</v>
      </c>
      <c r="B1761" t="s">
        <v>3338</v>
      </c>
      <c r="C1761" t="str">
        <f t="shared" si="27"/>
        <v xml:space="preserve">EmailResearch </v>
      </c>
      <c r="D1761" t="s">
        <v>3651</v>
      </c>
      <c r="E1761" t="s">
        <v>3652</v>
      </c>
    </row>
    <row r="1762" spans="1:5" x14ac:dyDescent="0.35">
      <c r="A1762" t="s">
        <v>10</v>
      </c>
      <c r="B1762" t="s">
        <v>3338</v>
      </c>
      <c r="C1762" t="str">
        <f t="shared" si="27"/>
        <v xml:space="preserve">EmailResearch </v>
      </c>
      <c r="D1762" t="s">
        <v>3653</v>
      </c>
      <c r="E1762" t="s">
        <v>3654</v>
      </c>
    </row>
    <row r="1763" spans="1:5" x14ac:dyDescent="0.35">
      <c r="A1763" t="s">
        <v>10</v>
      </c>
      <c r="B1763" t="s">
        <v>3338</v>
      </c>
      <c r="C1763" t="str">
        <f t="shared" si="27"/>
        <v xml:space="preserve">EmailResearch </v>
      </c>
      <c r="D1763" t="s">
        <v>3655</v>
      </c>
      <c r="E1763" t="s">
        <v>3656</v>
      </c>
    </row>
    <row r="1764" spans="1:5" x14ac:dyDescent="0.35">
      <c r="A1764" t="s">
        <v>10</v>
      </c>
      <c r="B1764" t="s">
        <v>3338</v>
      </c>
      <c r="C1764" t="str">
        <f t="shared" si="27"/>
        <v xml:space="preserve">EmailResearch </v>
      </c>
      <c r="D1764" t="s">
        <v>3660</v>
      </c>
      <c r="E1764" t="s">
        <v>3661</v>
      </c>
    </row>
    <row r="1765" spans="1:5" x14ac:dyDescent="0.35">
      <c r="A1765" t="s">
        <v>10</v>
      </c>
      <c r="B1765" t="s">
        <v>3662</v>
      </c>
      <c r="C1765" t="str">
        <f t="shared" si="27"/>
        <v>EmailResearch:How to Build Support for Your Security Awareness Program to help secure executive support</v>
      </c>
    </row>
    <row r="1766" spans="1:5" x14ac:dyDescent="0.35">
      <c r="A1766" t="s">
        <v>10</v>
      </c>
      <c r="B1766" t="s">
        <v>3338</v>
      </c>
      <c r="C1766" t="str">
        <f t="shared" si="27"/>
        <v xml:space="preserve">EmailResearch </v>
      </c>
      <c r="D1766" t="s">
        <v>3665</v>
      </c>
      <c r="E1766" t="s">
        <v>3666</v>
      </c>
    </row>
    <row r="1767" spans="1:5" x14ac:dyDescent="0.35">
      <c r="A1767" t="s">
        <v>10</v>
      </c>
      <c r="B1767" t="s">
        <v>3338</v>
      </c>
      <c r="C1767" t="str">
        <f t="shared" si="27"/>
        <v xml:space="preserve">EmailResearch </v>
      </c>
      <c r="D1767" t="s">
        <v>3667</v>
      </c>
      <c r="E1767" t="s">
        <v>3668</v>
      </c>
    </row>
    <row r="1768" spans="1:5" x14ac:dyDescent="0.35">
      <c r="A1768" t="s">
        <v>10</v>
      </c>
      <c r="B1768" t="s">
        <v>3338</v>
      </c>
      <c r="C1768" t="str">
        <f t="shared" si="27"/>
        <v xml:space="preserve">EmailResearch </v>
      </c>
      <c r="D1768" t="s">
        <v>3670</v>
      </c>
      <c r="E1768" t="s">
        <v>3671</v>
      </c>
    </row>
    <row r="1769" spans="1:5" x14ac:dyDescent="0.35">
      <c r="A1769" t="s">
        <v>10</v>
      </c>
      <c r="B1769" t="s">
        <v>3338</v>
      </c>
      <c r="C1769" t="str">
        <f t="shared" si="27"/>
        <v xml:space="preserve">EmailResearch </v>
      </c>
      <c r="D1769" t="s">
        <v>3672</v>
      </c>
      <c r="E1769" t="s">
        <v>3673</v>
      </c>
    </row>
    <row r="1770" spans="1:5" x14ac:dyDescent="0.35">
      <c r="A1770" t="s">
        <v>10</v>
      </c>
      <c r="B1770" t="s">
        <v>3338</v>
      </c>
      <c r="C1770" t="str">
        <f t="shared" si="27"/>
        <v xml:space="preserve">EmailResearch </v>
      </c>
      <c r="D1770" t="s">
        <v>3679</v>
      </c>
      <c r="E1770" t="s">
        <v>3680</v>
      </c>
    </row>
    <row r="1771" spans="1:5" x14ac:dyDescent="0.35">
      <c r="A1771" t="s">
        <v>10</v>
      </c>
      <c r="B1771" t="s">
        <v>3338</v>
      </c>
      <c r="C1771" t="str">
        <f t="shared" si="27"/>
        <v xml:space="preserve">EmailResearch </v>
      </c>
      <c r="D1771" t="s">
        <v>3683</v>
      </c>
      <c r="E1771" t="s">
        <v>3684</v>
      </c>
    </row>
    <row r="1772" spans="1:5" x14ac:dyDescent="0.35">
      <c r="A1772" t="s">
        <v>10</v>
      </c>
      <c r="B1772" t="s">
        <v>3338</v>
      </c>
      <c r="C1772" t="str">
        <f t="shared" si="27"/>
        <v xml:space="preserve">EmailResearch </v>
      </c>
      <c r="D1772" t="s">
        <v>3685</v>
      </c>
      <c r="E1772" t="s">
        <v>3686</v>
      </c>
    </row>
    <row r="1773" spans="1:5" x14ac:dyDescent="0.35">
      <c r="A1773" t="s">
        <v>10</v>
      </c>
      <c r="B1773" t="s">
        <v>3687</v>
      </c>
      <c r="C1773" t="str">
        <f t="shared" si="27"/>
        <v xml:space="preserve">EmailResearch - Develop Key Risk Indicators and Security Metrics That Influence Business Decision Making to help refine program metrics </v>
      </c>
    </row>
    <row r="1774" spans="1:5" x14ac:dyDescent="0.35">
      <c r="A1774" t="s">
        <v>10</v>
      </c>
      <c r="B1774" t="s">
        <v>3690</v>
      </c>
      <c r="C1774" t="str">
        <f t="shared" si="27"/>
        <v>EmailResearch - Read Communicating the Success of Your Security Awareness Program to help refine communication plan</v>
      </c>
    </row>
    <row r="1775" spans="1:5" x14ac:dyDescent="0.35">
      <c r="A1775" t="s">
        <v>10</v>
      </c>
      <c r="B1775" t="s">
        <v>3338</v>
      </c>
      <c r="C1775" t="str">
        <f t="shared" si="27"/>
        <v xml:space="preserve">EmailResearch </v>
      </c>
      <c r="D1775" t="s">
        <v>3695</v>
      </c>
      <c r="E1775" t="s">
        <v>3696</v>
      </c>
    </row>
    <row r="1776" spans="1:5" x14ac:dyDescent="0.35">
      <c r="A1776" t="s">
        <v>10</v>
      </c>
      <c r="B1776" t="s">
        <v>3338</v>
      </c>
      <c r="C1776" t="str">
        <f t="shared" si="27"/>
        <v xml:space="preserve">EmailResearch </v>
      </c>
      <c r="D1776" t="s">
        <v>3699</v>
      </c>
      <c r="E1776" t="s">
        <v>3700</v>
      </c>
    </row>
    <row r="1777" spans="1:5" x14ac:dyDescent="0.35">
      <c r="A1777" t="s">
        <v>10</v>
      </c>
      <c r="B1777" t="s">
        <v>3073</v>
      </c>
      <c r="C1777" t="str">
        <f t="shared" si="27"/>
        <v>EmailResearch</v>
      </c>
      <c r="D1777" t="s">
        <v>3702</v>
      </c>
      <c r="E1777" t="s">
        <v>3703</v>
      </c>
    </row>
    <row r="1778" spans="1:5" x14ac:dyDescent="0.35">
      <c r="A1778" t="s">
        <v>10</v>
      </c>
      <c r="B1778" t="s">
        <v>3338</v>
      </c>
      <c r="C1778" t="str">
        <f t="shared" si="27"/>
        <v xml:space="preserve">EmailResearch </v>
      </c>
      <c r="D1778" t="s">
        <v>3704</v>
      </c>
      <c r="E1778" t="s">
        <v>3705</v>
      </c>
    </row>
    <row r="1779" spans="1:5" x14ac:dyDescent="0.35">
      <c r="A1779" t="s">
        <v>10</v>
      </c>
      <c r="B1779" t="s">
        <v>3708</v>
      </c>
      <c r="C1779" t="str">
        <f t="shared" si="27"/>
        <v>EmailStart with maturity self-assessment document and discuss the procedural results with the LP</v>
      </c>
      <c r="D1779" t="s">
        <v>3709</v>
      </c>
      <c r="E1779" t="s">
        <v>3710</v>
      </c>
    </row>
    <row r="1780" spans="1:5" x14ac:dyDescent="0.35">
      <c r="A1780" t="s">
        <v>10</v>
      </c>
      <c r="B1780" t="s">
        <v>3711</v>
      </c>
      <c r="C1780" t="str">
        <f t="shared" si="27"/>
        <v>EmailBuild an Enterprise Information Management roadmap</v>
      </c>
      <c r="D1780" t="s">
        <v>3712</v>
      </c>
      <c r="E1780" t="s">
        <v>3713</v>
      </c>
    </row>
    <row r="1781" spans="1:5" x14ac:dyDescent="0.35">
      <c r="A1781" t="s">
        <v>10</v>
      </c>
      <c r="B1781" t="s">
        <v>3716</v>
      </c>
      <c r="C1781" t="str">
        <f t="shared" si="27"/>
        <v>EmailUse Research for required alignment, leverage and linking of data and analytics programs</v>
      </c>
      <c r="D1781" t="s">
        <v>3717</v>
      </c>
      <c r="E1781" t="s">
        <v>3718</v>
      </c>
    </row>
    <row r="1782" spans="1:5" x14ac:dyDescent="0.35">
      <c r="A1782" t="s">
        <v>10</v>
      </c>
      <c r="B1782" t="s">
        <v>3720</v>
      </c>
      <c r="C1782" t="str">
        <f t="shared" si="27"/>
        <v>EmailRefer to Research for building a data strategy for successful deployments</v>
      </c>
      <c r="D1782" t="s">
        <v>2210</v>
      </c>
      <c r="E1782" t="s">
        <v>3721</v>
      </c>
    </row>
    <row r="1783" spans="1:5" x14ac:dyDescent="0.35">
      <c r="A1783" t="s">
        <v>10</v>
      </c>
      <c r="B1783" t="s">
        <v>3725</v>
      </c>
      <c r="C1783" t="str">
        <f t="shared" si="27"/>
        <v>EmailRefer to Research for deploying the right tools, and educating the employees organizationwide on how to overcome instinctual data hoarding</v>
      </c>
      <c r="D1783" t="s">
        <v>3726</v>
      </c>
      <c r="E1783" t="s">
        <v>3727</v>
      </c>
    </row>
    <row r="1784" spans="1:5" x14ac:dyDescent="0.35">
      <c r="A1784" t="s">
        <v>10</v>
      </c>
      <c r="B1784" t="s">
        <v>3732</v>
      </c>
      <c r="C1784" t="str">
        <f t="shared" si="27"/>
        <v xml:space="preserve">EmailData and analytics leaders must master how to react to different approaches, how they vary as conditions change. View Document - </v>
      </c>
      <c r="D1784" t="s">
        <v>3733</v>
      </c>
      <c r="E1784" t="s">
        <v>3734</v>
      </c>
    </row>
    <row r="1785" spans="1:5" x14ac:dyDescent="0.35">
      <c r="A1785" t="s">
        <v>10</v>
      </c>
      <c r="B1785" t="s">
        <v>3741</v>
      </c>
      <c r="C1785" t="str">
        <f t="shared" si="27"/>
        <v>EmailReview Research and convey your vision for data and analytics effectively</v>
      </c>
      <c r="D1785" t="s">
        <v>331</v>
      </c>
      <c r="E1785" t="s">
        <v>3742</v>
      </c>
    </row>
    <row r="1786" spans="1:5" x14ac:dyDescent="0.35">
      <c r="A1786" t="s">
        <v>10</v>
      </c>
      <c r="B1786" t="s">
        <v>3743</v>
      </c>
      <c r="C1786" t="str">
        <f t="shared" si="27"/>
        <v>EmailUse research on how to take advantage of a new sentiment toward information management to deliver consumer value and competitive advantage</v>
      </c>
      <c r="D1786" t="s">
        <v>3744</v>
      </c>
      <c r="E1786" t="s">
        <v>3745</v>
      </c>
    </row>
    <row r="1787" spans="1:5" x14ac:dyDescent="0.35">
      <c r="A1787" t="s">
        <v>10</v>
      </c>
      <c r="B1787" t="s">
        <v>3747</v>
      </c>
      <c r="C1787" t="str">
        <f t="shared" si="27"/>
        <v>EmailAssess and improve the maturity of your PAM program, leveraging research:</v>
      </c>
      <c r="D1787" t="s">
        <v>1603</v>
      </c>
      <c r="E1787" t="s">
        <v>3748</v>
      </c>
    </row>
    <row r="1788" spans="1:5" x14ac:dyDescent="0.35">
      <c r="A1788" t="s">
        <v>10</v>
      </c>
      <c r="B1788" t="s">
        <v>3749</v>
      </c>
      <c r="C1788" t="str">
        <f t="shared" si="27"/>
        <v>EmailAs a starting research material, leverage:</v>
      </c>
      <c r="D1788" t="s">
        <v>3750</v>
      </c>
      <c r="E1788" t="s">
        <v>3751</v>
      </c>
    </row>
    <row r="1789" spans="1:5" x14ac:dyDescent="0.35">
      <c r="A1789" t="s">
        <v>10</v>
      </c>
      <c r="B1789" t="s">
        <v>3757</v>
      </c>
      <c r="C1789" t="str">
        <f t="shared" si="27"/>
        <v>EmailFor gaining insights into maturity cycle of IAM and PAM technologies, leverage:</v>
      </c>
      <c r="D1789" t="s">
        <v>3758</v>
      </c>
      <c r="E1789" t="s">
        <v>3759</v>
      </c>
    </row>
    <row r="1790" spans="1:5" x14ac:dyDescent="0.35">
      <c r="A1790" t="s">
        <v>10</v>
      </c>
      <c r="B1790" t="s">
        <v>3760</v>
      </c>
      <c r="C1790" t="str">
        <f t="shared" si="27"/>
        <v>EmailManage privileged access in a risk-aware fashion, leveraging:</v>
      </c>
      <c r="D1790" t="s">
        <v>3761</v>
      </c>
      <c r="E1790" t="s">
        <v>3762</v>
      </c>
    </row>
    <row r="1791" spans="1:5" x14ac:dyDescent="0.35">
      <c r="A1791" t="s">
        <v>10</v>
      </c>
      <c r="B1791" t="s">
        <v>3766</v>
      </c>
      <c r="C1791" t="str">
        <f t="shared" si="27"/>
        <v>EmailEvaluate multiple vendors with an eye on future requirements as well as costs</v>
      </c>
      <c r="D1791" t="s">
        <v>1613</v>
      </c>
      <c r="E1791" t="s">
        <v>3767</v>
      </c>
    </row>
    <row r="1792" spans="1:5" x14ac:dyDescent="0.35">
      <c r="A1792" t="s">
        <v>10</v>
      </c>
      <c r="B1792" t="s">
        <v>3769</v>
      </c>
      <c r="C1792" t="str">
        <f t="shared" si="27"/>
        <v>EmailBalance trust and accountability against user experience and cost while seeking new authentication methods</v>
      </c>
      <c r="D1792" t="s">
        <v>3770</v>
      </c>
      <c r="E1792" t="s">
        <v>3771</v>
      </c>
    </row>
    <row r="1793" spans="1:5" x14ac:dyDescent="0.35">
      <c r="A1793" t="s">
        <v>10</v>
      </c>
      <c r="B1793" t="s">
        <v>3772</v>
      </c>
      <c r="C1793" t="str">
        <f t="shared" si="27"/>
        <v>EmailFor end-user password usage and administration, leverage research:</v>
      </c>
      <c r="D1793" t="s">
        <v>3773</v>
      </c>
      <c r="E1793" t="s">
        <v>3774</v>
      </c>
    </row>
    <row r="1794" spans="1:5" x14ac:dyDescent="0.35">
      <c r="A1794" t="s">
        <v>10</v>
      </c>
      <c r="B1794" t="s">
        <v>3776</v>
      </c>
      <c r="C1794" t="str">
        <f t="shared" si="27"/>
        <v>EmailUse this research to evaluate various cost-effective authentication options available for workforce local access</v>
      </c>
      <c r="D1794" t="s">
        <v>3777</v>
      </c>
      <c r="E1794" t="s">
        <v>3778</v>
      </c>
    </row>
    <row r="1795" spans="1:5" x14ac:dyDescent="0.35">
      <c r="A1795" t="s">
        <v>10</v>
      </c>
      <c r="B1795" t="s">
        <v>3781</v>
      </c>
      <c r="C1795" t="str">
        <f t="shared" ref="C1795:C1858" si="28">CONCATENATE(A1795,B1795)</f>
        <v>EmailRedefine your best practices for managing people and things across diverse platforms</v>
      </c>
      <c r="D1795" t="s">
        <v>3782</v>
      </c>
      <c r="E1795" t="s">
        <v>3783</v>
      </c>
    </row>
    <row r="1796" spans="1:5" x14ac:dyDescent="0.35">
      <c r="A1796" t="s">
        <v>10</v>
      </c>
      <c r="B1796" t="s">
        <v>3785</v>
      </c>
      <c r="C1796" t="str">
        <f t="shared" si="28"/>
        <v>EmailStart with maturity self assessment document</v>
      </c>
      <c r="D1796" t="s">
        <v>3786</v>
      </c>
      <c r="E1796" t="s">
        <v>86</v>
      </c>
    </row>
    <row r="1797" spans="1:5" x14ac:dyDescent="0.35">
      <c r="A1797" t="s">
        <v>10</v>
      </c>
      <c r="B1797" t="s">
        <v>3792</v>
      </c>
      <c r="C1797" t="str">
        <f t="shared" si="28"/>
        <v>EmailReview foundational Research documents on building an effective Data and Analytics strategy</v>
      </c>
      <c r="D1797" t="s">
        <v>3379</v>
      </c>
      <c r="E1797" t="s">
        <v>3380</v>
      </c>
    </row>
    <row r="1798" spans="1:5" x14ac:dyDescent="0.35">
      <c r="A1798" t="s">
        <v>10</v>
      </c>
      <c r="B1798" t="s">
        <v>3792</v>
      </c>
      <c r="C1798" t="str">
        <f t="shared" si="28"/>
        <v>EmailReview foundational Research documents on building an effective Data and Analytics strategy</v>
      </c>
      <c r="D1798" t="s">
        <v>2808</v>
      </c>
      <c r="E1798" t="s">
        <v>334</v>
      </c>
    </row>
    <row r="1799" spans="1:5" x14ac:dyDescent="0.35">
      <c r="A1799" t="s">
        <v>10</v>
      </c>
      <c r="B1799" t="s">
        <v>3794</v>
      </c>
      <c r="C1799" t="str">
        <f t="shared" si="28"/>
        <v xml:space="preserve">EmailParamount to making an enterprise more data-driven is influencing its organizational culture. View below research to know more - </v>
      </c>
      <c r="D1799" t="s">
        <v>3795</v>
      </c>
      <c r="E1799" t="s">
        <v>3796</v>
      </c>
    </row>
    <row r="1800" spans="1:5" x14ac:dyDescent="0.35">
      <c r="A1800" t="s">
        <v>10</v>
      </c>
      <c r="B1800" t="s">
        <v>3797</v>
      </c>
      <c r="C1800" t="str">
        <f t="shared" si="28"/>
        <v xml:space="preserve">EmailReview Research to understand new types of skills and roles required </v>
      </c>
      <c r="D1800" t="s">
        <v>3798</v>
      </c>
      <c r="E1800" t="s">
        <v>3799</v>
      </c>
    </row>
    <row r="1801" spans="1:5" x14ac:dyDescent="0.35">
      <c r="A1801" t="s">
        <v>10</v>
      </c>
      <c r="B1801" t="s">
        <v>3804</v>
      </c>
      <c r="C1801" t="str">
        <f t="shared" si="28"/>
        <v>EmailLeverage Research to assess the current data and analytics governance initiatives and keep them relevant to business needs</v>
      </c>
      <c r="D1801" t="s">
        <v>2813</v>
      </c>
      <c r="E1801" t="s">
        <v>3805</v>
      </c>
    </row>
    <row r="1802" spans="1:5" x14ac:dyDescent="0.35">
      <c r="A1802" t="s">
        <v>10</v>
      </c>
      <c r="B1802" t="s">
        <v>3808</v>
      </c>
      <c r="C1802" t="str">
        <f t="shared" si="28"/>
        <v>EmailRefer to Research for recognizing a new symbiosis across the infrastructure, the organization and approach</v>
      </c>
      <c r="D1802" t="s">
        <v>2461</v>
      </c>
      <c r="E1802" t="s">
        <v>3809</v>
      </c>
    </row>
    <row r="1803" spans="1:5" x14ac:dyDescent="0.35">
      <c r="A1803" t="s">
        <v>10</v>
      </c>
      <c r="B1803" t="s">
        <v>3810</v>
      </c>
      <c r="C1803" t="str">
        <f t="shared" si="28"/>
        <v>EmailLeverage Research to understand how AI can revolutionize data strategy</v>
      </c>
      <c r="D1803" t="s">
        <v>3811</v>
      </c>
      <c r="E1803" t="s">
        <v>3812</v>
      </c>
    </row>
    <row r="1804" spans="1:5" x14ac:dyDescent="0.35">
      <c r="A1804" t="s">
        <v>10</v>
      </c>
      <c r="B1804" t="s">
        <v>3813</v>
      </c>
      <c r="C1804" t="str">
        <f t="shared" si="28"/>
        <v>EmailUse Research to create concrete, measurable metrics that link data and analytics initiatives to information, business and stakeholder value</v>
      </c>
      <c r="D1804" t="s">
        <v>3376</v>
      </c>
      <c r="E1804" t="s">
        <v>3377</v>
      </c>
    </row>
    <row r="1805" spans="1:5" x14ac:dyDescent="0.35">
      <c r="A1805" t="s">
        <v>10</v>
      </c>
      <c r="B1805" t="s">
        <v>3819</v>
      </c>
      <c r="C1805" t="str">
        <f t="shared" si="28"/>
        <v>EmailReview Research and understand the future of this industry</v>
      </c>
      <c r="D1805" t="s">
        <v>3407</v>
      </c>
      <c r="E1805" t="s">
        <v>3408</v>
      </c>
    </row>
    <row r="1806" spans="1:5" x14ac:dyDescent="0.35">
      <c r="A1806" t="s">
        <v>10</v>
      </c>
      <c r="B1806" t="s">
        <v>3822</v>
      </c>
      <c r="C1806" t="str">
        <f t="shared" si="28"/>
        <v>EmailView Research for strategic planning assumptions for enhancing the vision and plans.</v>
      </c>
      <c r="D1806" t="s">
        <v>3823</v>
      </c>
      <c r="E1806" t="s">
        <v>3824</v>
      </c>
    </row>
    <row r="1807" spans="1:5" x14ac:dyDescent="0.35">
      <c r="A1807" t="s">
        <v>10</v>
      </c>
      <c r="B1807" t="s">
        <v>3831</v>
      </c>
      <c r="C1807" t="str">
        <f t="shared" si="28"/>
        <v>EmailTo define the nature and scope of MDM &amp; to identify where and how MDM can deliver clear business value</v>
      </c>
      <c r="D1807" t="s">
        <v>3832</v>
      </c>
      <c r="E1807" t="s">
        <v>3833</v>
      </c>
    </row>
    <row r="1808" spans="1:5" x14ac:dyDescent="0.35">
      <c r="A1808" t="s">
        <v>10</v>
      </c>
      <c r="B1808" t="s">
        <v>3831</v>
      </c>
      <c r="C1808" t="str">
        <f t="shared" si="28"/>
        <v>EmailTo define the nature and scope of MDM &amp; to identify where and how MDM can deliver clear business value</v>
      </c>
      <c r="D1808" t="s">
        <v>3834</v>
      </c>
      <c r="E1808" t="s">
        <v>3835</v>
      </c>
    </row>
    <row r="1809" spans="1:5" x14ac:dyDescent="0.35">
      <c r="A1809" t="s">
        <v>10</v>
      </c>
      <c r="B1809" t="s">
        <v>3838</v>
      </c>
      <c r="C1809" t="str">
        <f t="shared" si="28"/>
        <v xml:space="preserve">EmailTo identify trends impacting MDM programs and prioritize your investment </v>
      </c>
      <c r="D1809" t="s">
        <v>3839</v>
      </c>
      <c r="E1809" t="s">
        <v>3840</v>
      </c>
    </row>
    <row r="1810" spans="1:5" x14ac:dyDescent="0.35">
      <c r="A1810" t="s">
        <v>10</v>
      </c>
      <c r="B1810" t="s">
        <v>3838</v>
      </c>
      <c r="C1810" t="str">
        <f t="shared" si="28"/>
        <v xml:space="preserve">EmailTo identify trends impacting MDM programs and prioritize your investment </v>
      </c>
      <c r="D1810" t="s">
        <v>3841</v>
      </c>
      <c r="E1810" t="s">
        <v>3842</v>
      </c>
    </row>
    <row r="1811" spans="1:5" x14ac:dyDescent="0.35">
      <c r="A1811" t="s">
        <v>10</v>
      </c>
      <c r="B1811" t="s">
        <v>3844</v>
      </c>
      <c r="C1811" t="str">
        <f t="shared" si="28"/>
        <v>EmailTo identify four essential areas for initiating and maintaining MDM and create business case for it</v>
      </c>
      <c r="D1811" t="s">
        <v>3845</v>
      </c>
      <c r="E1811" t="s">
        <v>3846</v>
      </c>
    </row>
    <row r="1812" spans="1:5" x14ac:dyDescent="0.35">
      <c r="A1812" t="s">
        <v>10</v>
      </c>
      <c r="B1812" t="s">
        <v>3844</v>
      </c>
      <c r="C1812" t="str">
        <f t="shared" si="28"/>
        <v>EmailTo identify four essential areas for initiating and maintaining MDM and create business case for it</v>
      </c>
      <c r="D1812" t="s">
        <v>3847</v>
      </c>
      <c r="E1812" t="s">
        <v>3848</v>
      </c>
    </row>
    <row r="1813" spans="1:5" x14ac:dyDescent="0.35">
      <c r="A1813" t="s">
        <v>10</v>
      </c>
      <c r="B1813" t="s">
        <v>3851</v>
      </c>
      <c r="C1813" t="str">
        <f t="shared" si="28"/>
        <v>EmailTo identify critical capabilities for MDM solutions and identify the most suitable vendors</v>
      </c>
      <c r="D1813" t="s">
        <v>3852</v>
      </c>
      <c r="E1813" t="s">
        <v>3853</v>
      </c>
    </row>
    <row r="1814" spans="1:5" x14ac:dyDescent="0.35">
      <c r="A1814" t="s">
        <v>10</v>
      </c>
      <c r="B1814" t="s">
        <v>3851</v>
      </c>
      <c r="C1814" t="str">
        <f t="shared" si="28"/>
        <v>EmailTo identify critical capabilities for MDM solutions and identify the most suitable vendors</v>
      </c>
      <c r="D1814" t="s">
        <v>3854</v>
      </c>
      <c r="E1814" t="s">
        <v>3855</v>
      </c>
    </row>
    <row r="1815" spans="1:5" x14ac:dyDescent="0.35">
      <c r="A1815" t="s">
        <v>10</v>
      </c>
      <c r="B1815" t="s">
        <v>3857</v>
      </c>
      <c r="C1815" t="str">
        <f t="shared" si="28"/>
        <v xml:space="preserve">EmailTo identify building blocks of MDMs and develop metrics to ensure effective MDM </v>
      </c>
      <c r="D1815" t="s">
        <v>3858</v>
      </c>
      <c r="E1815" t="s">
        <v>3859</v>
      </c>
    </row>
    <row r="1816" spans="1:5" x14ac:dyDescent="0.35">
      <c r="A1816" t="s">
        <v>10</v>
      </c>
      <c r="B1816" t="s">
        <v>3857</v>
      </c>
      <c r="C1816" t="str">
        <f t="shared" si="28"/>
        <v xml:space="preserve">EmailTo identify building blocks of MDMs and develop metrics to ensure effective MDM </v>
      </c>
      <c r="D1816" t="s">
        <v>3860</v>
      </c>
      <c r="E1816" t="s">
        <v>3861</v>
      </c>
    </row>
    <row r="1817" spans="1:5" x14ac:dyDescent="0.35">
      <c r="A1817" t="s">
        <v>10</v>
      </c>
      <c r="B1817" t="s">
        <v>3863</v>
      </c>
      <c r="C1817" t="str">
        <f t="shared" si="28"/>
        <v xml:space="preserve">EmailUse this peer connect to successfully create and implement MDM strategy </v>
      </c>
      <c r="D1817" t="s">
        <v>3864</v>
      </c>
      <c r="E1817" t="s">
        <v>3865</v>
      </c>
    </row>
    <row r="1818" spans="1:5" x14ac:dyDescent="0.35">
      <c r="A1818" t="s">
        <v>10</v>
      </c>
      <c r="B1818" t="s">
        <v>3863</v>
      </c>
      <c r="C1818" t="str">
        <f t="shared" si="28"/>
        <v xml:space="preserve">EmailUse this peer connect to successfully create and implement MDM strategy </v>
      </c>
      <c r="D1818" t="s">
        <v>3866</v>
      </c>
      <c r="E1818" t="s">
        <v>3867</v>
      </c>
    </row>
    <row r="1819" spans="1:5" x14ac:dyDescent="0.35">
      <c r="A1819" t="s">
        <v>10</v>
      </c>
      <c r="B1819" t="s">
        <v>3869</v>
      </c>
      <c r="C1819" t="str">
        <f t="shared" si="28"/>
        <v>EmailTo select the right model style to optimize MDM deployment and assure success</v>
      </c>
      <c r="D1819" t="s">
        <v>3870</v>
      </c>
      <c r="E1819" t="s">
        <v>3871</v>
      </c>
    </row>
    <row r="1820" spans="1:5" x14ac:dyDescent="0.35">
      <c r="A1820" t="s">
        <v>10</v>
      </c>
      <c r="B1820" t="s">
        <v>3872</v>
      </c>
      <c r="C1820" t="str">
        <f t="shared" si="28"/>
        <v xml:space="preserve">EmailTo assess the impacts of regulation upon their information governance and MDM programs </v>
      </c>
      <c r="D1820" t="s">
        <v>3873</v>
      </c>
      <c r="E1820" t="s">
        <v>3874</v>
      </c>
    </row>
    <row r="1821" spans="1:5" x14ac:dyDescent="0.35">
      <c r="A1821" t="s">
        <v>10</v>
      </c>
      <c r="B1821" t="s">
        <v>3879</v>
      </c>
      <c r="C1821" t="str">
        <f t="shared" si="28"/>
        <v>EmailTo identify best postmodern ERP strategies to to satisfy business needs with more agility and flexibility</v>
      </c>
      <c r="D1821" t="s">
        <v>3880</v>
      </c>
      <c r="E1821" t="s">
        <v>3881</v>
      </c>
    </row>
    <row r="1822" spans="1:5" x14ac:dyDescent="0.35">
      <c r="A1822" t="s">
        <v>10</v>
      </c>
      <c r="B1822" t="s">
        <v>3879</v>
      </c>
      <c r="C1822" t="str">
        <f t="shared" si="28"/>
        <v>EmailTo identify best postmodern ERP strategies to to satisfy business needs with more agility and flexibility</v>
      </c>
      <c r="D1822" t="s">
        <v>3882</v>
      </c>
      <c r="E1822" t="s">
        <v>3883</v>
      </c>
    </row>
    <row r="1823" spans="1:5" x14ac:dyDescent="0.35">
      <c r="A1823" t="s">
        <v>10</v>
      </c>
      <c r="B1823" t="s">
        <v>3885</v>
      </c>
      <c r="C1823" t="str">
        <f t="shared" si="28"/>
        <v>EmailTo identify when ERP replacement is necessary and ensure adoption of postmodern ERP strategy</v>
      </c>
      <c r="D1823" t="s">
        <v>3886</v>
      </c>
      <c r="E1823" t="s">
        <v>3887</v>
      </c>
    </row>
    <row r="1824" spans="1:5" x14ac:dyDescent="0.35">
      <c r="A1824" t="s">
        <v>10</v>
      </c>
      <c r="B1824" t="s">
        <v>3885</v>
      </c>
      <c r="C1824" t="str">
        <f t="shared" si="28"/>
        <v>EmailTo identify when ERP replacement is necessary and ensure adoption of postmodern ERP strategy</v>
      </c>
      <c r="D1824" t="s">
        <v>3888</v>
      </c>
      <c r="E1824" t="s">
        <v>3889</v>
      </c>
    </row>
    <row r="1825" spans="1:5" x14ac:dyDescent="0.35">
      <c r="A1825" t="s">
        <v>10</v>
      </c>
      <c r="B1825" t="s">
        <v>3890</v>
      </c>
      <c r="C1825" t="str">
        <f t="shared" si="28"/>
        <v>EmailTo help create a postmodern ERP strategy, refer research:</v>
      </c>
      <c r="D1825" t="s">
        <v>2676</v>
      </c>
      <c r="E1825" t="s">
        <v>3891</v>
      </c>
    </row>
    <row r="1826" spans="1:5" x14ac:dyDescent="0.35">
      <c r="A1826" t="s">
        <v>10</v>
      </c>
      <c r="B1826" t="s">
        <v>3890</v>
      </c>
      <c r="C1826" t="str">
        <f t="shared" si="28"/>
        <v>EmailTo help create a postmodern ERP strategy, refer research:</v>
      </c>
      <c r="D1826" t="s">
        <v>2670</v>
      </c>
      <c r="E1826" t="s">
        <v>3892</v>
      </c>
    </row>
    <row r="1827" spans="1:5" x14ac:dyDescent="0.35">
      <c r="A1827" t="s">
        <v>10</v>
      </c>
      <c r="B1827" t="s">
        <v>3894</v>
      </c>
      <c r="C1827" t="str">
        <f t="shared" si="28"/>
        <v>EmailTo develop guiding principles for ERP and assess the root causes leading their organizations to consider switching vendors</v>
      </c>
      <c r="D1827" t="s">
        <v>3895</v>
      </c>
      <c r="E1827" t="s">
        <v>3896</v>
      </c>
    </row>
    <row r="1828" spans="1:5" x14ac:dyDescent="0.35">
      <c r="A1828" t="s">
        <v>10</v>
      </c>
      <c r="B1828" t="s">
        <v>3894</v>
      </c>
      <c r="C1828" t="str">
        <f t="shared" si="28"/>
        <v>EmailTo develop guiding principles for ERP and assess the root causes leading their organizations to consider switching vendors</v>
      </c>
      <c r="D1828" t="s">
        <v>3897</v>
      </c>
      <c r="E1828" t="s">
        <v>3898</v>
      </c>
    </row>
    <row r="1829" spans="1:5" x14ac:dyDescent="0.35">
      <c r="A1829" t="s">
        <v>10</v>
      </c>
      <c r="B1829" t="s">
        <v>3900</v>
      </c>
      <c r="C1829" t="str">
        <f t="shared" si="28"/>
        <v>EmailTo define the roles in ERP implementation and understand how to modernise your strategies for ERP integration</v>
      </c>
      <c r="D1829" t="s">
        <v>3901</v>
      </c>
      <c r="E1829" t="s">
        <v>3902</v>
      </c>
    </row>
    <row r="1830" spans="1:5" x14ac:dyDescent="0.35">
      <c r="A1830" t="s">
        <v>10</v>
      </c>
      <c r="B1830" t="s">
        <v>3900</v>
      </c>
      <c r="C1830" t="str">
        <f t="shared" si="28"/>
        <v>EmailTo define the roles in ERP implementation and understand how to modernise your strategies for ERP integration</v>
      </c>
      <c r="D1830" t="s">
        <v>771</v>
      </c>
      <c r="E1830" t="s">
        <v>3903</v>
      </c>
    </row>
    <row r="1831" spans="1:5" x14ac:dyDescent="0.35">
      <c r="A1831" t="s">
        <v>10</v>
      </c>
      <c r="B1831" t="s">
        <v>3906</v>
      </c>
      <c r="C1831" t="str">
        <f t="shared" si="28"/>
        <v>EmailTo  execute strategy, governance and organizational change management action plans and to manage ERP investments effectively</v>
      </c>
      <c r="D1831" t="s">
        <v>756</v>
      </c>
      <c r="E1831" t="s">
        <v>3907</v>
      </c>
    </row>
    <row r="1832" spans="1:5" x14ac:dyDescent="0.35">
      <c r="A1832" t="s">
        <v>10</v>
      </c>
      <c r="B1832" t="s">
        <v>3906</v>
      </c>
      <c r="C1832" t="str">
        <f t="shared" si="28"/>
        <v>EmailTo  execute strategy, governance and organizational change management action plans and to manage ERP investments effectively</v>
      </c>
      <c r="D1832" t="s">
        <v>3908</v>
      </c>
      <c r="E1832" t="s">
        <v>3909</v>
      </c>
    </row>
    <row r="1833" spans="1:5" x14ac:dyDescent="0.35">
      <c r="A1833" t="s">
        <v>10</v>
      </c>
      <c r="B1833" t="s">
        <v>3911</v>
      </c>
      <c r="C1833" t="str">
        <f t="shared" si="28"/>
        <v xml:space="preserve">EmailTo address the realities of implementing a postmodern ERP strategy and to help ERP selection teams to choose vendors and software </v>
      </c>
      <c r="D1833" t="s">
        <v>3912</v>
      </c>
      <c r="E1833" t="s">
        <v>3913</v>
      </c>
    </row>
    <row r="1834" spans="1:5" x14ac:dyDescent="0.35">
      <c r="A1834" t="s">
        <v>10</v>
      </c>
      <c r="B1834" t="s">
        <v>3911</v>
      </c>
      <c r="C1834" t="str">
        <f t="shared" si="28"/>
        <v xml:space="preserve">EmailTo address the realities of implementing a postmodern ERP strategy and to help ERP selection teams to choose vendors and software </v>
      </c>
      <c r="D1834" t="s">
        <v>3914</v>
      </c>
      <c r="E1834" t="s">
        <v>3915</v>
      </c>
    </row>
    <row r="1835" spans="1:5" x14ac:dyDescent="0.35">
      <c r="A1835" t="s">
        <v>10</v>
      </c>
      <c r="B1835" t="s">
        <v>3919</v>
      </c>
      <c r="C1835" t="str">
        <f t="shared" si="28"/>
        <v>EmailTo improve project success rates and select SIs with the right expertise</v>
      </c>
      <c r="D1835" t="s">
        <v>768</v>
      </c>
      <c r="E1835" t="s">
        <v>769</v>
      </c>
    </row>
    <row r="1836" spans="1:5" x14ac:dyDescent="0.35">
      <c r="A1836" t="s">
        <v>10</v>
      </c>
      <c r="B1836" t="s">
        <v>3919</v>
      </c>
      <c r="C1836" t="str">
        <f t="shared" si="28"/>
        <v>EmailTo improve project success rates and select SIs with the right expertise</v>
      </c>
      <c r="D1836" t="s">
        <v>3920</v>
      </c>
      <c r="E1836" t="s">
        <v>3921</v>
      </c>
    </row>
    <row r="1837" spans="1:5" x14ac:dyDescent="0.35">
      <c r="A1837" t="s">
        <v>10</v>
      </c>
      <c r="B1837" t="s">
        <v>3922</v>
      </c>
      <c r="C1837" t="str">
        <f t="shared" si="28"/>
        <v>EmailTo address the cultural, transformation and employee-related engagement efforts and focus on benefits realization throughout the ERP life cycle</v>
      </c>
      <c r="D1837" t="s">
        <v>3923</v>
      </c>
      <c r="E1837" t="s">
        <v>3924</v>
      </c>
    </row>
    <row r="1838" spans="1:5" x14ac:dyDescent="0.35">
      <c r="A1838" t="s">
        <v>10</v>
      </c>
      <c r="B1838" t="s">
        <v>3922</v>
      </c>
      <c r="C1838" t="str">
        <f t="shared" si="28"/>
        <v>EmailTo address the cultural, transformation and employee-related engagement efforts and focus on benefits realization throughout the ERP life cycle</v>
      </c>
      <c r="D1838" t="s">
        <v>3925</v>
      </c>
      <c r="E1838" t="s">
        <v>3926</v>
      </c>
    </row>
    <row r="1839" spans="1:5" x14ac:dyDescent="0.35">
      <c r="A1839" t="s">
        <v>10</v>
      </c>
      <c r="B1839" t="s">
        <v>3927</v>
      </c>
      <c r="C1839" t="str">
        <f t="shared" si="28"/>
        <v>EmailTo develop a world-class enterprise architecture capability</v>
      </c>
      <c r="D1839" t="s">
        <v>3928</v>
      </c>
      <c r="E1839" t="s">
        <v>3929</v>
      </c>
    </row>
    <row r="1840" spans="1:5" x14ac:dyDescent="0.35">
      <c r="A1840" t="s">
        <v>10</v>
      </c>
      <c r="B1840" t="s">
        <v>3931</v>
      </c>
      <c r="C1840" t="str">
        <f t="shared" si="28"/>
        <v xml:space="preserve">EmailTo determine the current-state maturity and plan for improvements to build a world-class EA capability </v>
      </c>
      <c r="D1840" t="s">
        <v>3932</v>
      </c>
      <c r="E1840" t="s">
        <v>1565</v>
      </c>
    </row>
    <row r="1841" spans="1:5" x14ac:dyDescent="0.35">
      <c r="A1841" t="s">
        <v>10</v>
      </c>
      <c r="B1841" t="s">
        <v>3934</v>
      </c>
      <c r="C1841" t="str">
        <f t="shared" si="28"/>
        <v>EmailTo develop EA by adopting a pragmatic business-outcome-driven approach</v>
      </c>
      <c r="D1841" t="s">
        <v>2784</v>
      </c>
      <c r="E1841" t="s">
        <v>3935</v>
      </c>
    </row>
    <row r="1842" spans="1:5" x14ac:dyDescent="0.35">
      <c r="A1842" t="s">
        <v>10</v>
      </c>
      <c r="B1842" t="s">
        <v>3937</v>
      </c>
      <c r="C1842" t="str">
        <f t="shared" si="28"/>
        <v>EmailUse this Toolkit to clearly explore the business need for enterprise architecture</v>
      </c>
      <c r="D1842" t="s">
        <v>3938</v>
      </c>
      <c r="E1842" t="s">
        <v>3939</v>
      </c>
    </row>
    <row r="1843" spans="1:5" x14ac:dyDescent="0.35">
      <c r="A1843" t="s">
        <v>10</v>
      </c>
      <c r="B1843" t="s">
        <v>3943</v>
      </c>
      <c r="C1843" t="str">
        <f t="shared" si="28"/>
        <v>EmailTo define specific roles for the EA team members in your organization</v>
      </c>
      <c r="D1843" t="s">
        <v>3944</v>
      </c>
      <c r="E1843" t="s">
        <v>3945</v>
      </c>
    </row>
    <row r="1844" spans="1:5" x14ac:dyDescent="0.35">
      <c r="A1844" t="s">
        <v>10</v>
      </c>
      <c r="B1844" t="s">
        <v>3947</v>
      </c>
      <c r="C1844" t="str">
        <f t="shared" si="28"/>
        <v xml:space="preserve">EmailUse lean practices to enable increased respect for people and continuous improvement across the value chain </v>
      </c>
      <c r="D1844" t="s">
        <v>3948</v>
      </c>
      <c r="E1844" t="s">
        <v>3949</v>
      </c>
    </row>
    <row r="1845" spans="1:5" x14ac:dyDescent="0.35">
      <c r="A1845" t="s">
        <v>10</v>
      </c>
      <c r="B1845" t="s">
        <v>3951</v>
      </c>
      <c r="C1845" t="str">
        <f t="shared" si="28"/>
        <v>EmailUtilize Peer Connect to review the breadth of the interaction between enterprise architects and business units, from decision making through implement</v>
      </c>
      <c r="D1845" t="s">
        <v>3952</v>
      </c>
      <c r="E1845" t="s">
        <v>3953</v>
      </c>
    </row>
    <row r="1846" spans="1:5" x14ac:dyDescent="0.35">
      <c r="A1846" t="s">
        <v>10</v>
      </c>
      <c r="B1846" t="s">
        <v>3954</v>
      </c>
      <c r="C1846" t="str">
        <f t="shared" si="28"/>
        <v>EmailTo define the governance model for the targeted business outcome. Research :</v>
      </c>
      <c r="D1846" t="s">
        <v>3955</v>
      </c>
      <c r="E1846" t="s">
        <v>3956</v>
      </c>
    </row>
    <row r="1847" spans="1:5" x14ac:dyDescent="0.35">
      <c r="A1847" t="s">
        <v>10</v>
      </c>
      <c r="B1847" t="s">
        <v>3957</v>
      </c>
      <c r="C1847" t="str">
        <f t="shared" si="28"/>
        <v>EmailUse "what if" and "what could" analysis to create multiple future-state scenarios before developing detailed deliverable</v>
      </c>
      <c r="D1847" t="s">
        <v>2792</v>
      </c>
      <c r="E1847" t="s">
        <v>3958</v>
      </c>
    </row>
    <row r="1848" spans="1:5" x14ac:dyDescent="0.35">
      <c r="A1848" t="s">
        <v>10</v>
      </c>
      <c r="B1848" t="s">
        <v>3959</v>
      </c>
      <c r="C1848" t="str">
        <f t="shared" si="28"/>
        <v>EmailTo gain actionable insights on cloud migration and to explore roles and responsibilities for cloud computing</v>
      </c>
      <c r="D1848" t="s">
        <v>3960</v>
      </c>
      <c r="E1848" t="s">
        <v>3961</v>
      </c>
    </row>
    <row r="1849" spans="1:5" x14ac:dyDescent="0.35">
      <c r="A1849" t="s">
        <v>10</v>
      </c>
      <c r="B1849" t="s">
        <v>3959</v>
      </c>
      <c r="C1849" t="str">
        <f t="shared" si="28"/>
        <v>EmailTo gain actionable insights on cloud migration and to explore roles and responsibilities for cloud computing</v>
      </c>
      <c r="D1849" t="s">
        <v>3962</v>
      </c>
      <c r="E1849" t="s">
        <v>3963</v>
      </c>
    </row>
    <row r="1850" spans="1:5" x14ac:dyDescent="0.35">
      <c r="A1850" t="s">
        <v>10</v>
      </c>
      <c r="B1850" t="s">
        <v>3965</v>
      </c>
      <c r="C1850" t="str">
        <f t="shared" si="28"/>
        <v>EmailTo communicate the benefits of cloud to the business &amp; to capitalize on the opportunities of transitioning finance systems and processes to the cloud</v>
      </c>
      <c r="D1850" t="s">
        <v>3966</v>
      </c>
      <c r="E1850" t="s">
        <v>3967</v>
      </c>
    </row>
    <row r="1851" spans="1:5" x14ac:dyDescent="0.35">
      <c r="A1851" t="s">
        <v>10</v>
      </c>
      <c r="B1851" t="s">
        <v>3965</v>
      </c>
      <c r="C1851" t="str">
        <f t="shared" si="28"/>
        <v>EmailTo communicate the benefits of cloud to the business &amp; to capitalize on the opportunities of transitioning finance systems and processes to the cloud</v>
      </c>
      <c r="D1851" t="s">
        <v>2474</v>
      </c>
      <c r="E1851" t="s">
        <v>3968</v>
      </c>
    </row>
    <row r="1852" spans="1:5" x14ac:dyDescent="0.35">
      <c r="A1852" t="s">
        <v>10</v>
      </c>
      <c r="B1852" t="s">
        <v>3969</v>
      </c>
      <c r="C1852" t="str">
        <f t="shared" si="28"/>
        <v>EmailTo bridge and unify cloud strategy and cloud policy and use framework to bridge the gap between strategy and execution</v>
      </c>
      <c r="D1852" t="s">
        <v>3562</v>
      </c>
      <c r="E1852" t="s">
        <v>3970</v>
      </c>
    </row>
    <row r="1853" spans="1:5" x14ac:dyDescent="0.35">
      <c r="A1853" t="s">
        <v>10</v>
      </c>
      <c r="B1853" t="s">
        <v>3969</v>
      </c>
      <c r="C1853" t="str">
        <f t="shared" si="28"/>
        <v>EmailTo bridge and unify cloud strategy and cloud policy and use framework to bridge the gap between strategy and execution</v>
      </c>
      <c r="D1853" t="s">
        <v>3971</v>
      </c>
      <c r="E1853" t="s">
        <v>3972</v>
      </c>
    </row>
    <row r="1854" spans="1:5" x14ac:dyDescent="0.35">
      <c r="A1854" t="s">
        <v>10</v>
      </c>
      <c r="B1854" t="s">
        <v>3974</v>
      </c>
      <c r="C1854" t="str">
        <f t="shared" si="28"/>
        <v>EmailTo assess SOW for external system integrators or service providers and to identify an enterprise approach to cloud migration strategy</v>
      </c>
      <c r="D1854" t="s">
        <v>3975</v>
      </c>
      <c r="E1854" t="s">
        <v>3976</v>
      </c>
    </row>
    <row r="1855" spans="1:5" x14ac:dyDescent="0.35">
      <c r="A1855" t="s">
        <v>10</v>
      </c>
      <c r="B1855" t="s">
        <v>3974</v>
      </c>
      <c r="C1855" t="str">
        <f t="shared" si="28"/>
        <v>EmailTo assess SOW for external system integrators or service providers and to identify an enterprise approach to cloud migration strategy</v>
      </c>
      <c r="D1855" t="s">
        <v>3977</v>
      </c>
      <c r="E1855" t="s">
        <v>3978</v>
      </c>
    </row>
    <row r="1856" spans="1:5" x14ac:dyDescent="0.35">
      <c r="A1856" t="s">
        <v>10</v>
      </c>
      <c r="B1856" t="s">
        <v>3980</v>
      </c>
      <c r="C1856" t="str">
        <f t="shared" si="28"/>
        <v>EmailTo select a migration tool to aid the transition and use a people-centered project framework for cloud migration</v>
      </c>
      <c r="D1856" t="s">
        <v>3981</v>
      </c>
      <c r="E1856" t="s">
        <v>3982</v>
      </c>
    </row>
    <row r="1857" spans="1:5" x14ac:dyDescent="0.35">
      <c r="A1857" t="s">
        <v>10</v>
      </c>
      <c r="B1857" t="s">
        <v>3980</v>
      </c>
      <c r="C1857" t="str">
        <f t="shared" si="28"/>
        <v>EmailTo select a migration tool to aid the transition and use a people-centered project framework for cloud migration</v>
      </c>
      <c r="D1857" t="s">
        <v>3983</v>
      </c>
      <c r="E1857" t="s">
        <v>3984</v>
      </c>
    </row>
    <row r="1858" spans="1:5" x14ac:dyDescent="0.35">
      <c r="A1858" t="s">
        <v>10</v>
      </c>
      <c r="B1858" t="s">
        <v>3986</v>
      </c>
      <c r="C1858" t="str">
        <f t="shared" si="28"/>
        <v>EmailTo develop a negotiation and risk mitigation strategy and create a cloud migration tiger team to ensure a successful migration process</v>
      </c>
      <c r="D1858" t="s">
        <v>3987</v>
      </c>
      <c r="E1858" t="s">
        <v>3988</v>
      </c>
    </row>
    <row r="1859" spans="1:5" x14ac:dyDescent="0.35">
      <c r="A1859" t="s">
        <v>10</v>
      </c>
      <c r="B1859" t="s">
        <v>3986</v>
      </c>
      <c r="C1859" t="str">
        <f t="shared" ref="C1859:C1922" si="29">CONCATENATE(A1859,B1859)</f>
        <v>EmailTo develop a negotiation and risk mitigation strategy and create a cloud migration tiger team to ensure a successful migration process</v>
      </c>
      <c r="D1859" t="s">
        <v>3989</v>
      </c>
      <c r="E1859" t="s">
        <v>3990</v>
      </c>
    </row>
    <row r="1860" spans="1:5" x14ac:dyDescent="0.35">
      <c r="A1860" t="s">
        <v>10</v>
      </c>
      <c r="B1860" t="s">
        <v>3991</v>
      </c>
      <c r="C1860" t="str">
        <f t="shared" si="29"/>
        <v>EmailTo enforce governance and select the right approach to optimize your migration efforts</v>
      </c>
      <c r="D1860" t="s">
        <v>3992</v>
      </c>
      <c r="E1860" t="s">
        <v>3993</v>
      </c>
    </row>
    <row r="1861" spans="1:5" x14ac:dyDescent="0.35">
      <c r="A1861" t="s">
        <v>10</v>
      </c>
      <c r="B1861" t="s">
        <v>3994</v>
      </c>
      <c r="C1861" t="str">
        <f t="shared" si="29"/>
        <v>EmailTo align your public cloud use cases with optimal provider capabilities</v>
      </c>
      <c r="D1861" t="s">
        <v>3995</v>
      </c>
      <c r="E1861" t="s">
        <v>3996</v>
      </c>
    </row>
    <row r="1862" spans="1:5" x14ac:dyDescent="0.35">
      <c r="A1862" t="s">
        <v>10</v>
      </c>
      <c r="B1862" t="s">
        <v>3998</v>
      </c>
      <c r="C1862" t="str">
        <f t="shared" si="29"/>
        <v>EmailTo ensure that architectural changes preserve security while minimizing impacts on usability and to plan for resiliency in the cloud</v>
      </c>
      <c r="D1862" t="s">
        <v>3999</v>
      </c>
      <c r="E1862" t="s">
        <v>4000</v>
      </c>
    </row>
    <row r="1863" spans="1:5" x14ac:dyDescent="0.35">
      <c r="A1863" t="s">
        <v>10</v>
      </c>
      <c r="B1863" t="s">
        <v>3998</v>
      </c>
      <c r="C1863" t="str">
        <f t="shared" si="29"/>
        <v>EmailTo ensure that architectural changes preserve security while minimizing impacts on usability and to plan for resiliency in the cloud</v>
      </c>
      <c r="D1863" t="s">
        <v>4001</v>
      </c>
      <c r="E1863" t="s">
        <v>4002</v>
      </c>
    </row>
    <row r="1864" spans="1:5" x14ac:dyDescent="0.35">
      <c r="A1864" t="s">
        <v>10</v>
      </c>
      <c r="B1864" t="s">
        <v>4004</v>
      </c>
      <c r="C1864" t="str">
        <f t="shared" si="29"/>
        <v>EmailStart with foundational research material</v>
      </c>
      <c r="D1864" t="s">
        <v>4005</v>
      </c>
      <c r="E1864" t="s">
        <v>4006</v>
      </c>
    </row>
    <row r="1865" spans="1:5" x14ac:dyDescent="0.35">
      <c r="A1865" t="s">
        <v>10</v>
      </c>
      <c r="B1865" t="s">
        <v>4012</v>
      </c>
      <c r="C1865" t="str">
        <f t="shared" si="29"/>
        <v>EmailReview Research &amp; determine the role of data integration and application integration technology for connecting endpoint systems to their data hubs</v>
      </c>
      <c r="D1865" t="s">
        <v>4013</v>
      </c>
      <c r="E1865" t="s">
        <v>4014</v>
      </c>
    </row>
    <row r="1866" spans="1:5" x14ac:dyDescent="0.35">
      <c r="A1866" t="s">
        <v>10</v>
      </c>
      <c r="B1866" t="s">
        <v>4016</v>
      </c>
      <c r="C1866" t="str">
        <f t="shared" si="29"/>
        <v>EmailLeverage Research for exploring more on Data Integration tools</v>
      </c>
      <c r="D1866" t="s">
        <v>4017</v>
      </c>
      <c r="E1866" t="s">
        <v>4018</v>
      </c>
    </row>
    <row r="1867" spans="1:5" x14ac:dyDescent="0.35">
      <c r="A1867" t="s">
        <v>10</v>
      </c>
      <c r="B1867" t="s">
        <v>4016</v>
      </c>
      <c r="C1867" t="str">
        <f t="shared" si="29"/>
        <v>EmailLeverage Research for exploring more on Data Integration tools</v>
      </c>
      <c r="D1867" t="s">
        <v>4019</v>
      </c>
      <c r="E1867" t="s">
        <v>4020</v>
      </c>
    </row>
    <row r="1868" spans="1:5" x14ac:dyDescent="0.35">
      <c r="A1868" t="s">
        <v>10</v>
      </c>
      <c r="B1868" t="s">
        <v>4023</v>
      </c>
      <c r="C1868" t="str">
        <f t="shared" si="29"/>
        <v>EmailRefer to Research for implementing three top acts while renewing Data Integration strategies</v>
      </c>
      <c r="D1868" t="s">
        <v>4024</v>
      </c>
      <c r="E1868" t="s">
        <v>4025</v>
      </c>
    </row>
    <row r="1869" spans="1:5" x14ac:dyDescent="0.35">
      <c r="A1869" t="s">
        <v>10</v>
      </c>
      <c r="B1869" t="s">
        <v>4031</v>
      </c>
      <c r="C1869" t="str">
        <f t="shared" si="29"/>
        <v>EmailLeverage Research and choose the optimal integration architectures, determine bimodal integration approaches and build the shared data access layer</v>
      </c>
      <c r="D1869" t="s">
        <v>4032</v>
      </c>
      <c r="E1869" t="s">
        <v>4033</v>
      </c>
    </row>
    <row r="1870" spans="1:5" x14ac:dyDescent="0.35">
      <c r="A1870" t="s">
        <v>10</v>
      </c>
      <c r="B1870" t="s">
        <v>4034</v>
      </c>
      <c r="C1870" t="str">
        <f t="shared" si="29"/>
        <v>EmailLeverage Research for achieving agility and cost optimization by combining multiple data delivery styles</v>
      </c>
      <c r="D1870" t="s">
        <v>4035</v>
      </c>
      <c r="E1870" t="s">
        <v>4036</v>
      </c>
    </row>
    <row r="1871" spans="1:5" x14ac:dyDescent="0.35">
      <c r="A1871" t="s">
        <v>10</v>
      </c>
      <c r="B1871" t="s">
        <v>4039</v>
      </c>
      <c r="C1871" t="str">
        <f t="shared" si="29"/>
        <v>EmailReview Research to help integration and information leaders take account of the escalating need for data integration</v>
      </c>
      <c r="D1871" t="s">
        <v>4040</v>
      </c>
      <c r="E1871" t="s">
        <v>4041</v>
      </c>
    </row>
    <row r="1872" spans="1:5" x14ac:dyDescent="0.35">
      <c r="A1872" t="s">
        <v>10</v>
      </c>
      <c r="B1872" t="s">
        <v>4043</v>
      </c>
      <c r="C1872" t="str">
        <f t="shared" si="29"/>
        <v>EmailTo understand the need to respond to the threats and opportunities of digital business and how leadership can reset governance</v>
      </c>
      <c r="D1872" t="s">
        <v>4044</v>
      </c>
      <c r="E1872" t="s">
        <v>4045</v>
      </c>
    </row>
    <row r="1873" spans="1:5" x14ac:dyDescent="0.35">
      <c r="A1873" t="s">
        <v>10</v>
      </c>
      <c r="B1873" t="s">
        <v>4043</v>
      </c>
      <c r="C1873" t="str">
        <f t="shared" si="29"/>
        <v>EmailTo understand the need to respond to the threats and opportunities of digital business and how leadership can reset governance</v>
      </c>
      <c r="D1873" t="s">
        <v>1108</v>
      </c>
      <c r="E1873" t="s">
        <v>4046</v>
      </c>
    </row>
    <row r="1874" spans="1:5" x14ac:dyDescent="0.35">
      <c r="A1874" t="s">
        <v>10</v>
      </c>
      <c r="B1874" t="s">
        <v>4048</v>
      </c>
      <c r="C1874" t="str">
        <f t="shared" si="29"/>
        <v>EmailTo identify need to reset governance based on outcomes and making governance more adaptable</v>
      </c>
      <c r="D1874" t="s">
        <v>2038</v>
      </c>
      <c r="E1874" t="s">
        <v>1082</v>
      </c>
    </row>
    <row r="1875" spans="1:5" x14ac:dyDescent="0.35">
      <c r="A1875" t="s">
        <v>10</v>
      </c>
      <c r="B1875" t="s">
        <v>4048</v>
      </c>
      <c r="C1875" t="str">
        <f t="shared" si="29"/>
        <v>EmailTo identify need to reset governance based on outcomes and making governance more adaptable</v>
      </c>
      <c r="D1875" t="s">
        <v>4049</v>
      </c>
      <c r="E1875" t="s">
        <v>4050</v>
      </c>
    </row>
    <row r="1876" spans="1:5" x14ac:dyDescent="0.35">
      <c r="A1876" t="s">
        <v>10</v>
      </c>
      <c r="B1876" t="s">
        <v>4051</v>
      </c>
      <c r="C1876" t="str">
        <f t="shared" si="29"/>
        <v>EmailTo rethink and plan your EA governance and to use an artful approach to strategy development</v>
      </c>
      <c r="D1876" t="s">
        <v>2794</v>
      </c>
      <c r="E1876" t="s">
        <v>4052</v>
      </c>
    </row>
    <row r="1877" spans="1:5" x14ac:dyDescent="0.35">
      <c r="A1877" t="s">
        <v>10</v>
      </c>
      <c r="B1877" t="s">
        <v>4051</v>
      </c>
      <c r="C1877" t="str">
        <f t="shared" si="29"/>
        <v>EmailTo rethink and plan your EA governance and to use an artful approach to strategy development</v>
      </c>
      <c r="D1877" t="s">
        <v>463</v>
      </c>
      <c r="E1877" t="s">
        <v>4053</v>
      </c>
    </row>
    <row r="1878" spans="1:5" x14ac:dyDescent="0.35">
      <c r="A1878" t="s">
        <v>10</v>
      </c>
      <c r="B1878" t="s">
        <v>4055</v>
      </c>
      <c r="C1878" t="str">
        <f t="shared" si="29"/>
        <v>EmailTo define the purpose, scope, responsibilities and investment principles of a governance board and increasing yields on investments</v>
      </c>
      <c r="D1878" t="s">
        <v>2420</v>
      </c>
      <c r="E1878" t="s">
        <v>4056</v>
      </c>
    </row>
    <row r="1879" spans="1:5" x14ac:dyDescent="0.35">
      <c r="A1879" t="s">
        <v>10</v>
      </c>
      <c r="B1879" t="s">
        <v>4055</v>
      </c>
      <c r="C1879" t="str">
        <f t="shared" si="29"/>
        <v>EmailTo define the purpose, scope, responsibilities and investment principles of a governance board and increasing yields on investments</v>
      </c>
      <c r="D1879" t="s">
        <v>1078</v>
      </c>
      <c r="E1879" t="s">
        <v>1079</v>
      </c>
    </row>
    <row r="1880" spans="1:5" x14ac:dyDescent="0.35">
      <c r="A1880" t="s">
        <v>10</v>
      </c>
      <c r="B1880" t="s">
        <v>4058</v>
      </c>
      <c r="C1880" t="str">
        <f t="shared" si="29"/>
        <v>EmailTo establish governance fundamentals and to design an effective governance strategy</v>
      </c>
      <c r="D1880" t="s">
        <v>2436</v>
      </c>
      <c r="E1880" t="s">
        <v>4059</v>
      </c>
    </row>
    <row r="1881" spans="1:5" x14ac:dyDescent="0.35">
      <c r="A1881" t="s">
        <v>10</v>
      </c>
      <c r="B1881" t="s">
        <v>4058</v>
      </c>
      <c r="C1881" t="str">
        <f t="shared" si="29"/>
        <v>EmailTo establish governance fundamentals and to design an effective governance strategy</v>
      </c>
      <c r="D1881" t="s">
        <v>350</v>
      </c>
      <c r="E1881" t="s">
        <v>4060</v>
      </c>
    </row>
    <row r="1882" spans="1:5" x14ac:dyDescent="0.35">
      <c r="A1882" t="s">
        <v>10</v>
      </c>
      <c r="B1882" t="s">
        <v>4062</v>
      </c>
      <c r="C1882" t="str">
        <f t="shared" si="29"/>
        <v>EmailTo explore emerging governance practices and to accelerate digital strategy execution</v>
      </c>
      <c r="D1882" t="s">
        <v>4063</v>
      </c>
      <c r="E1882" t="s">
        <v>4064</v>
      </c>
    </row>
    <row r="1883" spans="1:5" x14ac:dyDescent="0.35">
      <c r="A1883" t="s">
        <v>10</v>
      </c>
      <c r="B1883" t="s">
        <v>4062</v>
      </c>
      <c r="C1883" t="str">
        <f t="shared" si="29"/>
        <v>EmailTo explore emerging governance practices and to accelerate digital strategy execution</v>
      </c>
      <c r="D1883" t="s">
        <v>1910</v>
      </c>
      <c r="E1883" t="s">
        <v>1911</v>
      </c>
    </row>
    <row r="1884" spans="1:5" x14ac:dyDescent="0.35">
      <c r="A1884" t="s">
        <v>10</v>
      </c>
      <c r="B1884" t="s">
        <v>4065</v>
      </c>
      <c r="C1884" t="str">
        <f t="shared" si="29"/>
        <v>EmailTo establish and manage trust in the myriad digital interactions  and to ensure your success</v>
      </c>
      <c r="D1884" t="s">
        <v>4066</v>
      </c>
      <c r="E1884" t="s">
        <v>4067</v>
      </c>
    </row>
    <row r="1885" spans="1:5" x14ac:dyDescent="0.35">
      <c r="A1885" t="s">
        <v>10</v>
      </c>
      <c r="B1885" t="s">
        <v>4065</v>
      </c>
      <c r="C1885" t="str">
        <f t="shared" si="29"/>
        <v>EmailTo establish and manage trust in the myriad digital interactions  and to ensure your success</v>
      </c>
      <c r="D1885" t="s">
        <v>4068</v>
      </c>
      <c r="E1885" t="s">
        <v>4069</v>
      </c>
    </row>
    <row r="1886" spans="1:5" x14ac:dyDescent="0.35">
      <c r="A1886" t="s">
        <v>10</v>
      </c>
      <c r="B1886" t="s">
        <v>4071</v>
      </c>
      <c r="C1886" t="str">
        <f t="shared" si="29"/>
        <v>EmailTo ensure CIO must act as a change agent, influencing and orchestrating the overall transformation</v>
      </c>
      <c r="D1886" t="s">
        <v>4072</v>
      </c>
      <c r="E1886" t="s">
        <v>4073</v>
      </c>
    </row>
    <row r="1887" spans="1:5" x14ac:dyDescent="0.35">
      <c r="A1887" t="s">
        <v>10</v>
      </c>
      <c r="B1887" t="s">
        <v>4074</v>
      </c>
      <c r="C1887" t="str">
        <f t="shared" si="29"/>
        <v>EmailTo ensure adoption of scenario-based planning in enterprise can help make business and supporting IT strategies more resilient to unforeseen changes</v>
      </c>
      <c r="D1887" t="s">
        <v>2381</v>
      </c>
      <c r="E1887" t="s">
        <v>4075</v>
      </c>
    </row>
    <row r="1888" spans="1:5" x14ac:dyDescent="0.35">
      <c r="A1888" t="s">
        <v>10</v>
      </c>
      <c r="B1888" t="s">
        <v>4076</v>
      </c>
      <c r="C1888" t="str">
        <f t="shared" si="29"/>
        <v xml:space="preserve">EmailStart with foundational research material </v>
      </c>
      <c r="D1888" t="s">
        <v>4077</v>
      </c>
      <c r="E1888" t="s">
        <v>4078</v>
      </c>
    </row>
    <row r="1889" spans="1:5" x14ac:dyDescent="0.35">
      <c r="A1889" t="s">
        <v>10</v>
      </c>
      <c r="B1889" t="s">
        <v>4083</v>
      </c>
      <c r="C1889" t="str">
        <f t="shared" si="29"/>
        <v>EmailRefer to Research for achieving agility and cost optimization by combining multiple data delivery styles</v>
      </c>
      <c r="D1889" t="s">
        <v>4035</v>
      </c>
      <c r="E1889" t="s">
        <v>4036</v>
      </c>
    </row>
    <row r="1890" spans="1:5" x14ac:dyDescent="0.35">
      <c r="A1890" t="s">
        <v>10</v>
      </c>
      <c r="B1890" t="s">
        <v>4085</v>
      </c>
      <c r="C1890" t="str">
        <f t="shared" si="29"/>
        <v>EmailLeverage Research to develop a logical or physical separation of data acquisition, insight development, optimization and governance</v>
      </c>
      <c r="D1890" t="s">
        <v>4086</v>
      </c>
      <c r="E1890" t="s">
        <v>4087</v>
      </c>
    </row>
    <row r="1891" spans="1:5" x14ac:dyDescent="0.35">
      <c r="A1891" t="s">
        <v>10</v>
      </c>
      <c r="B1891" t="s">
        <v>4088</v>
      </c>
      <c r="C1891" t="str">
        <f t="shared" si="29"/>
        <v>EmailLeverage Research to understand the strengths and weaknesses of data lake implementations</v>
      </c>
      <c r="D1891" t="s">
        <v>4089</v>
      </c>
      <c r="E1891" t="s">
        <v>4090</v>
      </c>
    </row>
    <row r="1892" spans="1:5" x14ac:dyDescent="0.35">
      <c r="A1892" t="s">
        <v>10</v>
      </c>
      <c r="B1892" t="s">
        <v>4097</v>
      </c>
      <c r="C1892" t="str">
        <f t="shared" si="29"/>
        <v>EmailRefer to below Research notes to understand how to evolve data lakes</v>
      </c>
      <c r="D1892" t="s">
        <v>2188</v>
      </c>
      <c r="E1892" t="s">
        <v>4098</v>
      </c>
    </row>
    <row r="1893" spans="1:5" x14ac:dyDescent="0.35">
      <c r="A1893" t="s">
        <v>10</v>
      </c>
      <c r="B1893" t="s">
        <v>4097</v>
      </c>
      <c r="C1893" t="str">
        <f t="shared" si="29"/>
        <v>EmailRefer to below Research notes to understand how to evolve data lakes</v>
      </c>
      <c r="D1893" t="s">
        <v>4099</v>
      </c>
      <c r="E1893" t="s">
        <v>4100</v>
      </c>
    </row>
    <row r="1894" spans="1:5" x14ac:dyDescent="0.35">
      <c r="A1894" t="s">
        <v>10</v>
      </c>
      <c r="B1894" t="s">
        <v>4102</v>
      </c>
      <c r="C1894" t="str">
        <f t="shared" si="29"/>
        <v>EmailReview Research and make appropriate choices when developing blockchain use cases</v>
      </c>
      <c r="D1894" t="s">
        <v>4103</v>
      </c>
      <c r="E1894" t="s">
        <v>4104</v>
      </c>
    </row>
    <row r="1895" spans="1:5" x14ac:dyDescent="0.35">
      <c r="A1895" t="s">
        <v>10</v>
      </c>
      <c r="B1895" t="s">
        <v>4105</v>
      </c>
      <c r="C1895" t="str">
        <f t="shared" si="29"/>
        <v>EmailReview Research to support increasingly complex, diverse and distributed data management workloads</v>
      </c>
      <c r="D1895" t="s">
        <v>4106</v>
      </c>
      <c r="E1895" t="s">
        <v>4107</v>
      </c>
    </row>
    <row r="1896" spans="1:5" x14ac:dyDescent="0.35">
      <c r="A1896" t="s">
        <v>10</v>
      </c>
      <c r="B1896" t="s">
        <v>4109</v>
      </c>
      <c r="C1896" t="str">
        <f t="shared" si="29"/>
        <v>EmailRefer to Research for a pragmatic approach to the LDW by leveraging the data management infrastructure model</v>
      </c>
      <c r="D1896" t="s">
        <v>3383</v>
      </c>
      <c r="E1896" t="s">
        <v>3384</v>
      </c>
    </row>
    <row r="1897" spans="1:5" x14ac:dyDescent="0.35">
      <c r="A1897" t="s">
        <v>10</v>
      </c>
      <c r="B1897" t="s">
        <v>4115</v>
      </c>
      <c r="C1897" t="str">
        <f t="shared" si="29"/>
        <v xml:space="preserve">EmailTo identify analytics best practices and the vendors that will deliver maximum business </v>
      </c>
      <c r="D1897" t="s">
        <v>4116</v>
      </c>
      <c r="E1897" t="s">
        <v>4117</v>
      </c>
    </row>
    <row r="1898" spans="1:5" x14ac:dyDescent="0.35">
      <c r="A1898" t="s">
        <v>10</v>
      </c>
      <c r="B1898" t="s">
        <v>4119</v>
      </c>
      <c r="C1898" t="str">
        <f t="shared" si="29"/>
        <v>EmailTo assess shortcomings and to identify actions for improving maturity of current capability</v>
      </c>
      <c r="D1898" t="s">
        <v>4120</v>
      </c>
      <c r="E1898" t="s">
        <v>88</v>
      </c>
    </row>
    <row r="1899" spans="1:5" x14ac:dyDescent="0.35">
      <c r="A1899" t="s">
        <v>10</v>
      </c>
      <c r="B1899" t="s">
        <v>4121</v>
      </c>
      <c r="C1899" t="str">
        <f t="shared" si="29"/>
        <v>EmailAssess Information maturity of the organization</v>
      </c>
      <c r="D1899" t="s">
        <v>3709</v>
      </c>
      <c r="E1899" t="s">
        <v>4122</v>
      </c>
    </row>
    <row r="1900" spans="1:5" x14ac:dyDescent="0.35">
      <c r="A1900" t="s">
        <v>10</v>
      </c>
      <c r="B1900" t="s">
        <v>4125</v>
      </c>
      <c r="C1900" t="str">
        <f t="shared" si="29"/>
        <v xml:space="preserve">EmailTo build a good data and analytics strategy </v>
      </c>
      <c r="D1900" t="s">
        <v>4126</v>
      </c>
      <c r="E1900" t="s">
        <v>4127</v>
      </c>
    </row>
    <row r="1901" spans="1:5" x14ac:dyDescent="0.35">
      <c r="A1901" t="s">
        <v>10</v>
      </c>
      <c r="B1901" t="s">
        <v>4128</v>
      </c>
      <c r="C1901" t="str">
        <f t="shared" si="29"/>
        <v>EmailTo create new data and analytics roles that are fit for the digital business future</v>
      </c>
      <c r="D1901" t="s">
        <v>4129</v>
      </c>
      <c r="E1901" t="s">
        <v>4130</v>
      </c>
    </row>
    <row r="1902" spans="1:5" x14ac:dyDescent="0.35">
      <c r="A1902" t="s">
        <v>10</v>
      </c>
      <c r="B1902" t="s">
        <v>4131</v>
      </c>
      <c r="C1902" t="str">
        <f t="shared" si="29"/>
        <v xml:space="preserve">EmailUtilize the peer forums to meet with a Peer member regarding </v>
      </c>
      <c r="D1902" t="s">
        <v>4132</v>
      </c>
      <c r="E1902" t="s">
        <v>4133</v>
      </c>
    </row>
    <row r="1903" spans="1:5" x14ac:dyDescent="0.35">
      <c r="A1903" t="s">
        <v>10</v>
      </c>
      <c r="B1903" t="s">
        <v>4135</v>
      </c>
      <c r="C1903" t="str">
        <f t="shared" si="29"/>
        <v xml:space="preserve">EmailData and analytics leaders should use a business-outcome-driven analytics framework to design a high business impact evolution roadmap </v>
      </c>
      <c r="D1903" t="s">
        <v>323</v>
      </c>
      <c r="E1903" t="s">
        <v>4136</v>
      </c>
    </row>
    <row r="1904" spans="1:5" x14ac:dyDescent="0.35">
      <c r="A1904" t="s">
        <v>10</v>
      </c>
      <c r="B1904" t="s">
        <v>4137</v>
      </c>
      <c r="C1904" t="str">
        <f t="shared" si="29"/>
        <v xml:space="preserve">EmailTo take simple steps in the areas of people, strategy, governance and technology  </v>
      </c>
      <c r="D1904" t="s">
        <v>4138</v>
      </c>
      <c r="E1904" t="s">
        <v>2820</v>
      </c>
    </row>
    <row r="1905" spans="1:5" x14ac:dyDescent="0.35">
      <c r="A1905" t="s">
        <v>10</v>
      </c>
      <c r="B1905" t="s">
        <v>4141</v>
      </c>
      <c r="C1905" t="str">
        <f t="shared" si="29"/>
        <v>EmailEnable a broader set of users with new expanded capabilities to increase the business impact of their investments</v>
      </c>
      <c r="D1905" t="s">
        <v>4142</v>
      </c>
      <c r="E1905" t="s">
        <v>4143</v>
      </c>
    </row>
    <row r="1906" spans="1:5" x14ac:dyDescent="0.35">
      <c r="A1906" t="s">
        <v>10</v>
      </c>
      <c r="B1906" t="s">
        <v>4144</v>
      </c>
      <c r="C1906" t="str">
        <f t="shared" si="29"/>
        <v>EmailEnsure realized value for analytics, which powers decision making in the digital business</v>
      </c>
      <c r="D1906" t="s">
        <v>4145</v>
      </c>
      <c r="E1906" t="s">
        <v>4146</v>
      </c>
    </row>
    <row r="1907" spans="1:5" x14ac:dyDescent="0.35">
      <c r="A1907" t="s">
        <v>10</v>
      </c>
      <c r="B1907" t="s">
        <v>4147</v>
      </c>
      <c r="C1907" t="str">
        <f t="shared" si="29"/>
        <v>EmailBest practices in the implementation of self-service analytics and BI</v>
      </c>
      <c r="D1907" t="s">
        <v>2822</v>
      </c>
      <c r="E1907" t="s">
        <v>4148</v>
      </c>
    </row>
    <row r="1908" spans="1:5" x14ac:dyDescent="0.35">
      <c r="A1908" t="s">
        <v>10</v>
      </c>
      <c r="B1908" t="s">
        <v>4149</v>
      </c>
      <c r="C1908" t="str">
        <f t="shared" si="29"/>
        <v>EmailTo know more about Augmented analytics</v>
      </c>
      <c r="D1908" t="s">
        <v>4150</v>
      </c>
      <c r="E1908" t="s">
        <v>4151</v>
      </c>
    </row>
    <row r="1909" spans="1:5" x14ac:dyDescent="0.35">
      <c r="A1909" t="s">
        <v>10</v>
      </c>
      <c r="B1909" t="s">
        <v>4152</v>
      </c>
      <c r="C1909" t="str">
        <f t="shared" si="29"/>
        <v xml:space="preserve">EmailStart with research to modernizing their integration strategy and infrastructure and to assess your readiness for a successful migration </v>
      </c>
      <c r="D1909" t="s">
        <v>2126</v>
      </c>
      <c r="E1909" t="s">
        <v>4153</v>
      </c>
    </row>
    <row r="1910" spans="1:5" x14ac:dyDescent="0.35">
      <c r="A1910" t="s">
        <v>10</v>
      </c>
      <c r="B1910" t="s">
        <v>4152</v>
      </c>
      <c r="C1910" t="str">
        <f t="shared" si="29"/>
        <v xml:space="preserve">EmailStart with research to modernizing their integration strategy and infrastructure and to assess your readiness for a successful migration </v>
      </c>
      <c r="D1910" t="s">
        <v>4154</v>
      </c>
      <c r="E1910" t="s">
        <v>4155</v>
      </c>
    </row>
    <row r="1911" spans="1:5" x14ac:dyDescent="0.35">
      <c r="A1911" t="s">
        <v>10</v>
      </c>
      <c r="B1911" t="s">
        <v>4157</v>
      </c>
      <c r="C1911" t="str">
        <f t="shared" si="29"/>
        <v>EmailKnow the best practices for data center migration and to strategize, plan and deliver business-outcome-based solutions</v>
      </c>
      <c r="D1911" t="s">
        <v>4158</v>
      </c>
      <c r="E1911" t="s">
        <v>4159</v>
      </c>
    </row>
    <row r="1912" spans="1:5" x14ac:dyDescent="0.35">
      <c r="A1912" t="s">
        <v>10</v>
      </c>
      <c r="B1912" t="s">
        <v>4157</v>
      </c>
      <c r="C1912" t="str">
        <f t="shared" si="29"/>
        <v>EmailKnow the best practices for data center migration and to strategize, plan and deliver business-outcome-based solutions</v>
      </c>
      <c r="D1912" t="s">
        <v>4160</v>
      </c>
      <c r="E1912" t="s">
        <v>4161</v>
      </c>
    </row>
    <row r="1913" spans="1:5" x14ac:dyDescent="0.35">
      <c r="A1913" t="s">
        <v>10</v>
      </c>
      <c r="B1913" t="s">
        <v>4163</v>
      </c>
      <c r="C1913" t="str">
        <f t="shared" si="29"/>
        <v>EmailTo identify trends for data center modernization and infrastructure agility</v>
      </c>
      <c r="D1913" t="s">
        <v>4164</v>
      </c>
      <c r="E1913" t="s">
        <v>4165</v>
      </c>
    </row>
    <row r="1914" spans="1:5" x14ac:dyDescent="0.35">
      <c r="A1914" t="s">
        <v>10</v>
      </c>
      <c r="B1914" t="s">
        <v>4167</v>
      </c>
      <c r="C1914" t="str">
        <f t="shared" si="29"/>
        <v>EmailTo take decision regarding migrating a data center to Cloud IaaS</v>
      </c>
      <c r="D1914" t="s">
        <v>4168</v>
      </c>
      <c r="E1914" t="s">
        <v>4169</v>
      </c>
    </row>
    <row r="1915" spans="1:5" x14ac:dyDescent="0.35">
      <c r="A1915" t="s">
        <v>10</v>
      </c>
      <c r="B1915" t="s">
        <v>4172</v>
      </c>
      <c r="C1915" t="str">
        <f t="shared" si="29"/>
        <v>EmailTo compare &amp; contrast strategies and direction  of peer organizations and to plan next generation of IT infrastructure</v>
      </c>
      <c r="D1915" t="s">
        <v>4173</v>
      </c>
      <c r="E1915" t="s">
        <v>4174</v>
      </c>
    </row>
    <row r="1916" spans="1:5" x14ac:dyDescent="0.35">
      <c r="A1916" t="s">
        <v>10</v>
      </c>
      <c r="B1916" t="s">
        <v>4172</v>
      </c>
      <c r="C1916" t="str">
        <f t="shared" si="29"/>
        <v>EmailTo compare &amp; contrast strategies and direction  of peer organizations and to plan next generation of IT infrastructure</v>
      </c>
      <c r="D1916" t="s">
        <v>4175</v>
      </c>
      <c r="E1916" t="s">
        <v>4176</v>
      </c>
    </row>
    <row r="1917" spans="1:5" x14ac:dyDescent="0.35">
      <c r="A1917" t="s">
        <v>10</v>
      </c>
      <c r="B1917" t="s">
        <v>4178</v>
      </c>
      <c r="C1917" t="str">
        <f t="shared" si="29"/>
        <v>EmailRefer peer content to understand data center migration strategy</v>
      </c>
      <c r="D1917" t="s">
        <v>1195</v>
      </c>
      <c r="E1917" t="s">
        <v>1196</v>
      </c>
    </row>
    <row r="1918" spans="1:5" x14ac:dyDescent="0.35">
      <c r="A1918" t="s">
        <v>10</v>
      </c>
      <c r="B1918" t="s">
        <v>4178</v>
      </c>
      <c r="C1918" t="str">
        <f t="shared" si="29"/>
        <v>EmailRefer peer content to understand data center migration strategy</v>
      </c>
      <c r="D1918" t="s">
        <v>1190</v>
      </c>
      <c r="E1918" t="s">
        <v>1191</v>
      </c>
    </row>
    <row r="1919" spans="1:5" x14ac:dyDescent="0.35">
      <c r="A1919" t="s">
        <v>10</v>
      </c>
      <c r="B1919" t="s">
        <v>4179</v>
      </c>
      <c r="C1919" t="str">
        <f t="shared" si="29"/>
        <v>EmailTo ensure agile data center and improve its efficiency</v>
      </c>
      <c r="D1919" t="s">
        <v>4180</v>
      </c>
      <c r="E1919" t="s">
        <v>4181</v>
      </c>
    </row>
    <row r="1920" spans="1:5" x14ac:dyDescent="0.35">
      <c r="A1920" t="s">
        <v>10</v>
      </c>
      <c r="B1920" t="s">
        <v>4179</v>
      </c>
      <c r="C1920" t="str">
        <f t="shared" si="29"/>
        <v>EmailTo ensure agile data center and improve its efficiency</v>
      </c>
      <c r="D1920" t="s">
        <v>4182</v>
      </c>
      <c r="E1920" t="s">
        <v>4183</v>
      </c>
    </row>
    <row r="1921" spans="1:5" x14ac:dyDescent="0.35">
      <c r="A1921" t="s">
        <v>10</v>
      </c>
      <c r="B1921" t="s">
        <v>506</v>
      </c>
      <c r="C1921" t="str">
        <f t="shared" si="29"/>
        <v>EmailReview forward looking research:</v>
      </c>
      <c r="D1921" t="s">
        <v>1211</v>
      </c>
      <c r="E1921" t="s">
        <v>1212</v>
      </c>
    </row>
    <row r="1922" spans="1:5" x14ac:dyDescent="0.35">
      <c r="A1922" t="s">
        <v>18</v>
      </c>
      <c r="B1922" t="s">
        <v>1232</v>
      </c>
      <c r="C1922" t="str">
        <f t="shared" si="29"/>
        <v>Event 1:1Register a Team Member for the Gartner Application Strategy Summit – build an agenda around Integration Strategy. Arrange 1-on-1s.</v>
      </c>
    </row>
    <row r="1923" spans="1:5" x14ac:dyDescent="0.35">
      <c r="A1923" t="s">
        <v>18</v>
      </c>
      <c r="B1923" t="s">
        <v>2305</v>
      </c>
      <c r="C1923" t="str">
        <f t="shared" ref="C1923:C1986" si="30">CONCATENATE(A1923,B1923)</f>
        <v xml:space="preserve">Event 1:1Register to attend Symposium and participate in workshops, roundtables and analyst 1:1 sessions relevant to your specific needs. </v>
      </c>
    </row>
    <row r="1924" spans="1:5" x14ac:dyDescent="0.35">
      <c r="A1924" t="s">
        <v>18</v>
      </c>
      <c r="B1924" t="s">
        <v>2317</v>
      </c>
      <c r="C1924" t="str">
        <f t="shared" si="30"/>
        <v xml:space="preserve">Event 1:1Register to attend Symposium and CIO Forum. Participate in workshops, roundtables and analyst 1:1 sessions relevant to your specific needs.   </v>
      </c>
    </row>
    <row r="1925" spans="1:5" x14ac:dyDescent="0.35">
      <c r="A1925" t="s">
        <v>18</v>
      </c>
      <c r="B1925" t="s">
        <v>2404</v>
      </c>
      <c r="C1925" t="str">
        <f t="shared" si="30"/>
        <v>Event 1:1Register to attend Symposium and participate in workshops, roundtables and analyst 1:1 sessions relevant to your specific needs.</v>
      </c>
    </row>
    <row r="1926" spans="1:5" x14ac:dyDescent="0.35">
      <c r="A1926" t="s">
        <v>18</v>
      </c>
      <c r="B1926" t="s">
        <v>2446</v>
      </c>
      <c r="C1926" t="str">
        <f t="shared" si="30"/>
        <v>Event 1:1Set reminders to register for CIO Forum and Symposium events. Plan to attend IT Governance focused sessions. Book an analyst 1:1 on IT Governance.</v>
      </c>
    </row>
    <row r="1927" spans="1:5" x14ac:dyDescent="0.35">
      <c r="A1927" t="s">
        <v>18</v>
      </c>
      <c r="B1927" t="s">
        <v>2449</v>
      </c>
      <c r="C1927" t="str">
        <f t="shared" si="30"/>
        <v xml:space="preserve">Event 1:1Register to attend Symposium and CIO Forum. Participate in workshops, roundtables and analyst 1:1 sessions relevant to your specific needs.   
</v>
      </c>
    </row>
    <row r="1928" spans="1:5" x14ac:dyDescent="0.35">
      <c r="A1928" t="s">
        <v>18</v>
      </c>
      <c r="B1928" t="s">
        <v>2475</v>
      </c>
      <c r="C1928" t="str">
        <f t="shared" si="30"/>
        <v xml:space="preserve">Event 1:1Register to attend Symposium and participate in workshops, roundtables and analyst 1:1 sessions relevant to your specific needs.  </v>
      </c>
    </row>
    <row r="1929" spans="1:5" x14ac:dyDescent="0.35">
      <c r="A1929" t="s">
        <v>18</v>
      </c>
      <c r="B1929" t="s">
        <v>2577</v>
      </c>
      <c r="C1929" t="str">
        <f t="shared" si="30"/>
        <v xml:space="preserve">Event 1:1Register to attend Symposium and CIO Forum. Participate in workshops, roundtables and analyst 1:1 sessions relevant to your specific needs. </v>
      </c>
    </row>
    <row r="1930" spans="1:5" x14ac:dyDescent="0.35">
      <c r="A1930" t="s">
        <v>18</v>
      </c>
      <c r="B1930" t="s">
        <v>2642</v>
      </c>
      <c r="C1930" t="str">
        <f t="shared" si="30"/>
        <v>Event 1:1Register for Symposium and CIO Forum - schedule an Event 1:1 on M&amp;A.</v>
      </c>
    </row>
    <row r="1931" spans="1:5" x14ac:dyDescent="0.35">
      <c r="A1931" t="s">
        <v>18</v>
      </c>
      <c r="B1931" t="s">
        <v>2776</v>
      </c>
      <c r="C1931" t="str">
        <f t="shared" si="30"/>
        <v xml:space="preserve">Event 1:1Register to attend Symposium and CIO Forum. Participate in workshops, roundtables and analyst 1:1 sessions relevant to your specific needs.    </v>
      </c>
    </row>
    <row r="1932" spans="1:5" x14ac:dyDescent="0.35">
      <c r="A1932" t="s">
        <v>18</v>
      </c>
      <c r="B1932" t="s">
        <v>2994</v>
      </c>
      <c r="C1932" t="str">
        <f t="shared" si="30"/>
        <v xml:space="preserve">Event 1:1Register to attend Symposium and CIO Forum. Participate in workshops, roundtables and analyst 1:1 sessions relevant to your specific needs. 
</v>
      </c>
    </row>
    <row r="1933" spans="1:5" x14ac:dyDescent="0.35">
      <c r="A1933" t="s">
        <v>18</v>
      </c>
      <c r="B1933" t="s">
        <v>888</v>
      </c>
      <c r="C1933" t="str">
        <f t="shared" si="30"/>
        <v>Event 1:1Gain new insights from analyst presentations, network with industry peers, visit vendor ITXpo.</v>
      </c>
    </row>
    <row r="1934" spans="1:5" x14ac:dyDescent="0.35">
      <c r="A1934" t="s">
        <v>18</v>
      </c>
      <c r="B1934" t="s">
        <v>3086</v>
      </c>
      <c r="C1934" t="str">
        <f t="shared" si="30"/>
        <v>Event 1:1Attend the EITL Spring Peer Form (Apr. 23 to 25 in Orlando, FL)</v>
      </c>
    </row>
    <row r="1935" spans="1:5" x14ac:dyDescent="0.35">
      <c r="A1935" t="s">
        <v>18</v>
      </c>
      <c r="B1935" t="s">
        <v>3095</v>
      </c>
      <c r="C1935" t="str">
        <f t="shared" si="30"/>
        <v>Event 1:1IT Sourcing, Procurement, Vendor &amp; Asset Management Summit (Sept. 5 to 7 in Orland, FL)</v>
      </c>
    </row>
    <row r="1936" spans="1:5" x14ac:dyDescent="0.35">
      <c r="A1936" t="s">
        <v>18</v>
      </c>
      <c r="B1936" t="s">
        <v>3103</v>
      </c>
      <c r="C1936" t="str">
        <f t="shared" si="30"/>
        <v>Event 1:1Attend the Gartner Symposium/Itxpo (Oct. 14 to 18 in Orlando, FL) and attend the Fall EITL Peer Forum (Nov. 14 to 16 in San Diego, CA)</v>
      </c>
    </row>
    <row r="1937" spans="1:3" x14ac:dyDescent="0.35">
      <c r="A1937" t="s">
        <v>14</v>
      </c>
      <c r="B1937" t="s">
        <v>59</v>
      </c>
      <c r="C1937" t="str">
        <f t="shared" si="30"/>
        <v xml:space="preserve">Facilitated NetworkingNetwork with a CIO who has adopted a similar organization model. 
</v>
      </c>
    </row>
    <row r="1938" spans="1:3" x14ac:dyDescent="0.35">
      <c r="A1938" t="s">
        <v>14</v>
      </c>
      <c r="B1938" t="s">
        <v>101</v>
      </c>
      <c r="C1938" t="str">
        <f t="shared" si="30"/>
        <v>Facilitated NetworkingNetwork with a CIO on best practices in data and information assets monetization.</v>
      </c>
    </row>
    <row r="1939" spans="1:3" x14ac:dyDescent="0.35">
      <c r="A1939" t="s">
        <v>14</v>
      </c>
      <c r="B1939" t="s">
        <v>129</v>
      </c>
      <c r="C1939" t="str">
        <f t="shared" si="30"/>
        <v>Facilitated NetworkingPeer networking: Digital commerce best practices.</v>
      </c>
    </row>
    <row r="1940" spans="1:3" x14ac:dyDescent="0.35">
      <c r="A1940" t="s">
        <v>14</v>
      </c>
      <c r="B1940" t="s">
        <v>149</v>
      </c>
      <c r="C1940" t="str">
        <f t="shared" si="30"/>
        <v>Facilitated NetworkingPeer networking: Digital best practices.</v>
      </c>
    </row>
    <row r="1941" spans="1:3" x14ac:dyDescent="0.35">
      <c r="A1941" t="s">
        <v>14</v>
      </c>
      <c r="B1941" t="s">
        <v>188</v>
      </c>
      <c r="C1941" t="str">
        <f t="shared" si="30"/>
        <v>Facilitated NetworkingNetwork with peers on best practices in enterprise mobility management.</v>
      </c>
    </row>
    <row r="1942" spans="1:3" x14ac:dyDescent="0.35">
      <c r="A1942" t="s">
        <v>14</v>
      </c>
      <c r="B1942" t="s">
        <v>195</v>
      </c>
      <c r="C1942" t="str">
        <f t="shared" si="30"/>
        <v xml:space="preserve">Facilitated NetworkingFacilitated Networking: Network with peers on best practices in enterprise mobility management.
</v>
      </c>
    </row>
    <row r="1943" spans="1:3" x14ac:dyDescent="0.35">
      <c r="A1943" t="s">
        <v>14</v>
      </c>
      <c r="B1943" t="s">
        <v>235</v>
      </c>
      <c r="C1943" t="str">
        <f t="shared" si="30"/>
        <v xml:space="preserve">Facilitated NetworkingNetwork with a Government CIO for best practices in improving citizen experience. </v>
      </c>
    </row>
    <row r="1944" spans="1:3" x14ac:dyDescent="0.35">
      <c r="A1944" t="s">
        <v>14</v>
      </c>
      <c r="B1944" t="s">
        <v>243</v>
      </c>
      <c r="C1944" t="str">
        <f t="shared" si="30"/>
        <v>Facilitated NetworkingNetwork with a CIO for best practices in improving citizen experience.</v>
      </c>
    </row>
    <row r="1945" spans="1:3" x14ac:dyDescent="0.35">
      <c r="A1945" t="s">
        <v>14</v>
      </c>
      <c r="B1945" t="s">
        <v>263</v>
      </c>
      <c r="C1945" t="str">
        <f t="shared" si="30"/>
        <v>Facilitated NetworkingNetwork with a CIO for best practices in manufacturing digitalization.</v>
      </c>
    </row>
    <row r="1946" spans="1:3" x14ac:dyDescent="0.35">
      <c r="A1946" t="s">
        <v>14</v>
      </c>
      <c r="B1946" t="s">
        <v>267</v>
      </c>
      <c r="C1946" t="str">
        <f t="shared" si="30"/>
        <v>Facilitated NetworkingNetwork with a CIO for best practices in manufacturing digitalization</v>
      </c>
    </row>
    <row r="1947" spans="1:3" x14ac:dyDescent="0.35">
      <c r="A1947" t="s">
        <v>14</v>
      </c>
      <c r="B1947" t="s">
        <v>295</v>
      </c>
      <c r="C1947" t="str">
        <f t="shared" si="30"/>
        <v>Facilitated NetworkingNetwork with a CIO for best practices in adapting to new privacy regulations.</v>
      </c>
    </row>
    <row r="1948" spans="1:3" x14ac:dyDescent="0.35">
      <c r="A1948" t="s">
        <v>14</v>
      </c>
      <c r="B1948" t="s">
        <v>347</v>
      </c>
      <c r="C1948" t="str">
        <f t="shared" si="30"/>
        <v>Facilitated NetworkingConnect with a fellow CIO who is actively working on Analytics strategy.</v>
      </c>
    </row>
    <row r="1949" spans="1:3" x14ac:dyDescent="0.35">
      <c r="A1949" t="s">
        <v>14</v>
      </c>
      <c r="B1949" t="s">
        <v>390</v>
      </c>
      <c r="C1949" t="str">
        <f t="shared" si="30"/>
        <v>Facilitated NetworkingPeer Network with a CIO who is further down the road with AI implementation.</v>
      </c>
    </row>
    <row r="1950" spans="1:3" x14ac:dyDescent="0.35">
      <c r="A1950" t="s">
        <v>14</v>
      </c>
      <c r="B1950" t="s">
        <v>484</v>
      </c>
      <c r="C1950" t="str">
        <f t="shared" si="30"/>
        <v>Facilitated NetworkingNetwork with fellow EXP member who has renovated the IT strategic planning process</v>
      </c>
    </row>
    <row r="1951" spans="1:3" x14ac:dyDescent="0.35">
      <c r="A1951" t="s">
        <v>14</v>
      </c>
      <c r="B1951" t="s">
        <v>485</v>
      </c>
      <c r="C1951" t="str">
        <f t="shared" si="30"/>
        <v xml:space="preserve">Facilitated NetworkingNetwork with fellow EXP member who has renovated the IT strategic planning process. 
</v>
      </c>
    </row>
    <row r="1952" spans="1:3" x14ac:dyDescent="0.35">
      <c r="A1952" t="s">
        <v>14</v>
      </c>
      <c r="B1952" t="s">
        <v>536</v>
      </c>
      <c r="C1952" t="str">
        <f t="shared" si="30"/>
        <v>Facilitated NetworkingPeer Network with a CIO who has effectively implemented a BVIT approach/mindset.</v>
      </c>
    </row>
    <row r="1953" spans="1:3" x14ac:dyDescent="0.35">
      <c r="A1953" t="s">
        <v>14</v>
      </c>
      <c r="B1953" t="s">
        <v>537</v>
      </c>
      <c r="C1953" t="str">
        <f t="shared" si="30"/>
        <v xml:space="preserve">Facilitated NetworkingPeer Network with a CIO who has effectively implemented a BVIT approach/mindset.
</v>
      </c>
    </row>
    <row r="1954" spans="1:3" x14ac:dyDescent="0.35">
      <c r="A1954" t="s">
        <v>14</v>
      </c>
      <c r="B1954" t="s">
        <v>578</v>
      </c>
      <c r="C1954" t="str">
        <f t="shared" si="30"/>
        <v>Facilitated NetworkingPeer Network with a CIO who has successfully navigated M&amp;A activity.</v>
      </c>
    </row>
    <row r="1955" spans="1:3" x14ac:dyDescent="0.35">
      <c r="A1955" t="s">
        <v>14</v>
      </c>
      <c r="B1955" t="s">
        <v>629</v>
      </c>
      <c r="C1955" t="str">
        <f t="shared" si="30"/>
        <v>Facilitated NetworkingNetwork with a fellow EXP member who has an established IT innovation process.</v>
      </c>
    </row>
    <row r="1956" spans="1:3" x14ac:dyDescent="0.35">
      <c r="A1956" t="s">
        <v>14</v>
      </c>
      <c r="B1956" t="s">
        <v>672</v>
      </c>
      <c r="C1956" t="str">
        <f t="shared" si="30"/>
        <v>Facilitated NetworkingNetwork with a CIO who has had to significantly reduce costs.</v>
      </c>
    </row>
    <row r="1957" spans="1:3" x14ac:dyDescent="0.35">
      <c r="A1957" t="s">
        <v>14</v>
      </c>
      <c r="B1957" t="s">
        <v>716</v>
      </c>
      <c r="C1957" t="str">
        <f t="shared" si="30"/>
        <v>Facilitated NetworkingNetwork with a fellow EXP member who has previously focused on innovating the Customers' Experience</v>
      </c>
    </row>
    <row r="1958" spans="1:3" x14ac:dyDescent="0.35">
      <c r="A1958" t="s">
        <v>14</v>
      </c>
      <c r="B1958" t="s">
        <v>825</v>
      </c>
      <c r="C1958" t="str">
        <f t="shared" si="30"/>
        <v>Facilitated NetworkingNetworking dinner - Establish a network of leading CIOs in the local area.</v>
      </c>
    </row>
    <row r="1959" spans="1:3" x14ac:dyDescent="0.35">
      <c r="A1959" t="s">
        <v>14</v>
      </c>
      <c r="B1959" t="s">
        <v>826</v>
      </c>
      <c r="C1959" t="str">
        <f t="shared" si="30"/>
        <v>Facilitated NetworkingNetworking with a CIO who has shaped his team for a digital transformation</v>
      </c>
    </row>
    <row r="1960" spans="1:3" x14ac:dyDescent="0.35">
      <c r="A1960" t="s">
        <v>14</v>
      </c>
      <c r="B1960" t="s">
        <v>883</v>
      </c>
      <c r="C1960" t="str">
        <f t="shared" si="30"/>
        <v>Facilitated NetworkingAttend a local networking event: Gain new insights to reduce risk or deliver new initiatives.</v>
      </c>
    </row>
    <row r="1961" spans="1:3" x14ac:dyDescent="0.35">
      <c r="A1961" t="s">
        <v>14</v>
      </c>
      <c r="B1961" t="s">
        <v>914</v>
      </c>
      <c r="C1961" t="str">
        <f t="shared" si="30"/>
        <v>Facilitated NetworkingPeer Network with a CIO who has achieved moving to the next level of maturity.</v>
      </c>
    </row>
    <row r="1962" spans="1:3" x14ac:dyDescent="0.35">
      <c r="A1962" t="s">
        <v>14</v>
      </c>
      <c r="B1962" t="s">
        <v>930</v>
      </c>
      <c r="C1962" t="str">
        <f t="shared" si="30"/>
        <v>Facilitated NetworkingPromote local IT networking events and opportunities.</v>
      </c>
    </row>
    <row r="1963" spans="1:3" x14ac:dyDescent="0.35">
      <c r="A1963" t="s">
        <v>14</v>
      </c>
      <c r="B1963" t="s">
        <v>973</v>
      </c>
      <c r="C1963" t="str">
        <f t="shared" si="30"/>
        <v>Facilitated NetworkingConnect with a CIO who has guided his organization through a culture change initiative.</v>
      </c>
    </row>
    <row r="1964" spans="1:3" x14ac:dyDescent="0.35">
      <c r="A1964" t="s">
        <v>14</v>
      </c>
      <c r="B1964" t="s">
        <v>1058</v>
      </c>
      <c r="C1964" t="str">
        <f t="shared" si="30"/>
        <v>Facilitated NetworkingPeer network with fellow CIO who has achieved enterprise-wide adoption of cloud at scale.</v>
      </c>
    </row>
    <row r="1965" spans="1:3" x14ac:dyDescent="0.35">
      <c r="A1965" t="s">
        <v>14</v>
      </c>
      <c r="B1965" t="s">
        <v>1065</v>
      </c>
      <c r="C1965" t="str">
        <f t="shared" si="30"/>
        <v>Facilitated NetworkingNetwork with a CIO around realizing cloud benefits.</v>
      </c>
    </row>
    <row r="1966" spans="1:3" x14ac:dyDescent="0.35">
      <c r="A1966" t="s">
        <v>14</v>
      </c>
      <c r="B1966" t="s">
        <v>1098</v>
      </c>
      <c r="C1966" t="str">
        <f t="shared" si="30"/>
        <v>Facilitated NetworkingNetwork with a CIO around the challenges of Business Unit IT Governance.</v>
      </c>
    </row>
    <row r="1967" spans="1:3" x14ac:dyDescent="0.35">
      <c r="A1967" t="s">
        <v>14</v>
      </c>
      <c r="B1967" t="s">
        <v>1144</v>
      </c>
      <c r="C1967" t="str">
        <f t="shared" si="30"/>
        <v>Facilitated Networkingwith an Organization that “Renovated the Core” for Digital Business.</v>
      </c>
    </row>
    <row r="1968" spans="1:3" x14ac:dyDescent="0.35">
      <c r="A1968" t="s">
        <v>14</v>
      </c>
      <c r="B1968" t="s">
        <v>1153</v>
      </c>
      <c r="C1968" t="str">
        <f t="shared" si="30"/>
        <v>Facilitated NetworkingRegister a team member to Gartner’s Risk &amp; Security Summit –  BCM track.</v>
      </c>
    </row>
    <row r="1969" spans="1:5" x14ac:dyDescent="0.35">
      <c r="A1969" t="s">
        <v>14</v>
      </c>
      <c r="B1969" t="s">
        <v>1169</v>
      </c>
      <c r="C1969" t="str">
        <f t="shared" si="30"/>
        <v>Facilitated NetworkingNetwork with a CIO who has had been through a significant BCM event..</v>
      </c>
    </row>
    <row r="1970" spans="1:5" x14ac:dyDescent="0.35">
      <c r="A1970" t="s">
        <v>14</v>
      </c>
      <c r="B1970" t="s">
        <v>1188</v>
      </c>
      <c r="C1970" t="str">
        <f t="shared" si="30"/>
        <v>Facilitated NetworkingNetwork with a CIO who has recently orchestrated a Data Center migration. Discuss challenges during migration and how they were overcome.</v>
      </c>
    </row>
    <row r="1971" spans="1:5" x14ac:dyDescent="0.35">
      <c r="A1971" t="s">
        <v>14</v>
      </c>
      <c r="B1971" t="s">
        <v>1193</v>
      </c>
      <c r="C1971" t="str">
        <f t="shared" si="30"/>
        <v>Facilitated NetworkingNetwork with a CIO who has recently undergone a data center migration.</v>
      </c>
    </row>
    <row r="1972" spans="1:5" x14ac:dyDescent="0.35">
      <c r="A1972" t="s">
        <v>14</v>
      </c>
      <c r="B1972" t="s">
        <v>1231</v>
      </c>
      <c r="C1972" t="str">
        <f t="shared" si="30"/>
        <v>Facilitated NetworkingNetwork with a CIO for best practices in building and modernizing integration strategies.</v>
      </c>
    </row>
    <row r="1973" spans="1:5" x14ac:dyDescent="0.35">
      <c r="A1973" t="s">
        <v>14</v>
      </c>
      <c r="B1973" t="s">
        <v>1267</v>
      </c>
      <c r="C1973" t="str">
        <f t="shared" si="30"/>
        <v>Facilitated NetworkingConnect with peers working on shared service portfolio management.</v>
      </c>
      <c r="D1973" t="s">
        <v>1268</v>
      </c>
      <c r="E1973" t="s">
        <v>1269</v>
      </c>
    </row>
    <row r="1974" spans="1:5" x14ac:dyDescent="0.35">
      <c r="A1974" t="s">
        <v>14</v>
      </c>
      <c r="B1974" t="s">
        <v>1303</v>
      </c>
      <c r="C1974" t="str">
        <f t="shared" si="30"/>
        <v>Facilitated NetworkingNetwork with a fellow CIO who has a mature vendor management capability.</v>
      </c>
    </row>
    <row r="1975" spans="1:5" x14ac:dyDescent="0.35">
      <c r="A1975" t="s">
        <v>14</v>
      </c>
      <c r="B1975" t="s">
        <v>1311</v>
      </c>
      <c r="C1975" t="str">
        <f t="shared" si="30"/>
        <v>Facilitated NetworkingPeer network with a fellow CIO who has a mature vendor management capability.</v>
      </c>
    </row>
    <row r="1976" spans="1:5" x14ac:dyDescent="0.35">
      <c r="A1976" t="s">
        <v>14</v>
      </c>
      <c r="B1976" t="s">
        <v>1350</v>
      </c>
      <c r="C1976" t="str">
        <f t="shared" si="30"/>
        <v>Facilitated NetworkingPeer Network with one of our mature digitally enabled members.</v>
      </c>
    </row>
    <row r="1977" spans="1:5" x14ac:dyDescent="0.35">
      <c r="A1977" t="s">
        <v>14</v>
      </c>
      <c r="B1977" t="s">
        <v>1404</v>
      </c>
      <c r="C1977" t="str">
        <f t="shared" si="30"/>
        <v>Facilitated NetworkingExplore networking opportunities on  peer connect.</v>
      </c>
      <c r="D1977" t="s">
        <v>1405</v>
      </c>
      <c r="E1977" t="s">
        <v>1406</v>
      </c>
    </row>
    <row r="1978" spans="1:5" x14ac:dyDescent="0.35">
      <c r="A1978" t="s">
        <v>14</v>
      </c>
      <c r="B1978" t="s">
        <v>1435</v>
      </c>
      <c r="C1978" t="str">
        <f t="shared" si="30"/>
        <v>Facilitated NetworkingNetwork with a fellow CIO who is at the next level of maturity of digital transformation.</v>
      </c>
    </row>
    <row r="1979" spans="1:5" x14ac:dyDescent="0.35">
      <c r="A1979" t="s">
        <v>14</v>
      </c>
      <c r="B1979" t="s">
        <v>1464</v>
      </c>
      <c r="C1979" t="str">
        <f t="shared" si="30"/>
        <v>Facilitated NetworkingNetwork with a CIO who is at the next level of maturity in digital transformation</v>
      </c>
    </row>
    <row r="1980" spans="1:5" x14ac:dyDescent="0.35">
      <c r="A1980" t="s">
        <v>14</v>
      </c>
      <c r="B1980" t="s">
        <v>1500</v>
      </c>
      <c r="C1980" t="str">
        <f t="shared" si="30"/>
        <v>Facilitated NetworkingNetwork with a CIO who has implemented full financial transparency.</v>
      </c>
    </row>
    <row r="1981" spans="1:5" x14ac:dyDescent="0.35">
      <c r="A1981" t="s">
        <v>14</v>
      </c>
      <c r="B1981" t="s">
        <v>1518</v>
      </c>
      <c r="C1981" t="str">
        <f t="shared" si="30"/>
        <v>Facilitated NetworkingConnect with peer who has advanced on DevOps journey.</v>
      </c>
      <c r="D1981" t="s">
        <v>1519</v>
      </c>
      <c r="E1981" t="s">
        <v>1520</v>
      </c>
    </row>
    <row r="1982" spans="1:5" x14ac:dyDescent="0.35">
      <c r="A1982" t="s">
        <v>14</v>
      </c>
      <c r="B1982" t="s">
        <v>1634</v>
      </c>
      <c r="C1982" t="str">
        <f t="shared" si="30"/>
        <v>Facilitated NetworkingNetwork with a CIO who has leveraged digital capabilities for R&amp;D in his organization</v>
      </c>
    </row>
    <row r="1983" spans="1:5" x14ac:dyDescent="0.35">
      <c r="A1983" t="s">
        <v>14</v>
      </c>
      <c r="B1983" t="s">
        <v>1668</v>
      </c>
      <c r="C1983" t="str">
        <f t="shared" si="30"/>
        <v>Facilitated NetworkingPeer connect with a CIO who is further down the road in emerging technologies to deliver healthcare in his organization</v>
      </c>
    </row>
    <row r="1984" spans="1:5" x14ac:dyDescent="0.35">
      <c r="A1984" t="s">
        <v>14</v>
      </c>
      <c r="B1984" t="s">
        <v>1679</v>
      </c>
      <c r="C1984" t="str">
        <f t="shared" si="30"/>
        <v xml:space="preserve">Facilitated NetworkingNetwork with a CIO who has implemented a holistic data security strategy. </v>
      </c>
    </row>
    <row r="1985" spans="1:3" x14ac:dyDescent="0.35">
      <c r="A1985" t="s">
        <v>14</v>
      </c>
      <c r="B1985" t="s">
        <v>1718</v>
      </c>
      <c r="C1985" t="str">
        <f t="shared" si="30"/>
        <v>Facilitated NetworkingNetwork with fellow EXP member on best practices in network architecture evolution</v>
      </c>
    </row>
    <row r="1986" spans="1:3" x14ac:dyDescent="0.35">
      <c r="A1986" t="s">
        <v>14</v>
      </c>
      <c r="B1986" t="s">
        <v>1772</v>
      </c>
      <c r="C1986" t="str">
        <f t="shared" si="30"/>
        <v xml:space="preserve">Facilitated NetworkingNetwork with an organization that is actively evaluating emerging trends and technologies for their disruptive potential. </v>
      </c>
    </row>
    <row r="1987" spans="1:3" x14ac:dyDescent="0.35">
      <c r="A1987" t="s">
        <v>14</v>
      </c>
      <c r="B1987" t="s">
        <v>1881</v>
      </c>
      <c r="C1987" t="str">
        <f t="shared" ref="C1987:C2050" si="31">CONCATENATE(A1987,B1987)</f>
        <v xml:space="preserve">Facilitated NetworkingNetwork with peer on best practices for modernizing IT services portfolio and creation of IT services catalog. </v>
      </c>
    </row>
    <row r="1988" spans="1:3" x14ac:dyDescent="0.35">
      <c r="A1988" t="s">
        <v>14</v>
      </c>
      <c r="B1988" t="s">
        <v>1908</v>
      </c>
      <c r="C1988" t="str">
        <f t="shared" si="31"/>
        <v>Facilitated NetworkingNetwork with a CIO who has implemented agile at scale.</v>
      </c>
    </row>
    <row r="1989" spans="1:3" x14ac:dyDescent="0.35">
      <c r="A1989" t="s">
        <v>14</v>
      </c>
      <c r="B1989" t="s">
        <v>1928</v>
      </c>
      <c r="C1989" t="str">
        <f t="shared" si="31"/>
        <v>Facilitated NetworkingNetwork with a CIO whose institution is considered a top performer in terms of progress in digital transformation.</v>
      </c>
    </row>
    <row r="1990" spans="1:3" x14ac:dyDescent="0.35">
      <c r="A1990" t="s">
        <v>14</v>
      </c>
      <c r="B1990" t="s">
        <v>1952</v>
      </c>
      <c r="C1990" t="str">
        <f t="shared" si="31"/>
        <v>Facilitated NetworkingNetwork with industry peers to reflect on emerging technologies and business models.</v>
      </c>
    </row>
    <row r="1991" spans="1:3" x14ac:dyDescent="0.35">
      <c r="A1991" t="s">
        <v>14</v>
      </c>
      <c r="B1991" t="s">
        <v>2014</v>
      </c>
      <c r="C1991" t="str">
        <f t="shared" si="31"/>
        <v>Facilitated NetworkingNetwork with a K-12 CIO whose institution is considered a top performer in terms of progress in digital transformation.</v>
      </c>
    </row>
    <row r="1992" spans="1:3" x14ac:dyDescent="0.35">
      <c r="A1992" t="s">
        <v>14</v>
      </c>
      <c r="B1992" t="s">
        <v>2070</v>
      </c>
      <c r="C1992" t="str">
        <f t="shared" si="31"/>
        <v>Facilitated Networking Facilitated Networking: Peer network with a fellow CIO who has a mature sourcing and procurement management capability</v>
      </c>
    </row>
    <row r="1993" spans="1:3" x14ac:dyDescent="0.35">
      <c r="A1993" t="s">
        <v>14</v>
      </c>
      <c r="B1993" t="s">
        <v>2166</v>
      </c>
      <c r="C1993" t="str">
        <f t="shared" si="31"/>
        <v>Facilitated NetworkingNetwork with fellow EXP Member on the topic of best practices for ongoing portfolio optimization.</v>
      </c>
    </row>
    <row r="1994" spans="1:3" x14ac:dyDescent="0.35">
      <c r="A1994" t="s">
        <v>14</v>
      </c>
      <c r="B1994" t="s">
        <v>2456</v>
      </c>
      <c r="C1994" t="str">
        <f t="shared" si="31"/>
        <v>Facilitated NetworkingNetwork with a CIO who has recently revamped Data Strategy in the organization.</v>
      </c>
    </row>
    <row r="1995" spans="1:3" x14ac:dyDescent="0.35">
      <c r="A1995" t="s">
        <v>14</v>
      </c>
      <c r="B1995" t="s">
        <v>2548</v>
      </c>
      <c r="C1995" t="str">
        <f t="shared" si="31"/>
        <v>Facilitated NetworkingPeer Network with one of our members who has implemented Artificial Intelligence.</v>
      </c>
    </row>
    <row r="1996" spans="1:3" x14ac:dyDescent="0.35">
      <c r="A1996" t="s">
        <v>14</v>
      </c>
      <c r="B1996" t="s">
        <v>2689</v>
      </c>
      <c r="C1996" t="str">
        <f t="shared" si="31"/>
        <v xml:space="preserve">Facilitated NetworkingExchange ideas with other Gartner clients who are tackling similar challenges. </v>
      </c>
    </row>
    <row r="1997" spans="1:3" x14ac:dyDescent="0.35">
      <c r="A1997" t="s">
        <v>14</v>
      </c>
      <c r="B1997" t="s">
        <v>2775</v>
      </c>
      <c r="C1997" t="str">
        <f t="shared" si="31"/>
        <v>Facilitated NetworkingNetwork with a CIO to learn the best practices in Enterprise architecture.</v>
      </c>
    </row>
    <row r="1998" spans="1:3" x14ac:dyDescent="0.35">
      <c r="A1998" t="s">
        <v>14</v>
      </c>
      <c r="B1998" t="s">
        <v>2803</v>
      </c>
      <c r="C1998" t="str">
        <f t="shared" si="31"/>
        <v xml:space="preserve">Facilitated NetworkingConnect with a fellow CIO who is actively working on Analytics and BI strategy. 
</v>
      </c>
    </row>
    <row r="1999" spans="1:3" x14ac:dyDescent="0.35">
      <c r="A1999" t="s">
        <v>14</v>
      </c>
      <c r="B1999" t="s">
        <v>2872</v>
      </c>
      <c r="C1999" t="str">
        <f t="shared" si="31"/>
        <v>Facilitated NetworkingNetwork with a CIO who has implemented cybersecurity in his organization and has shown the impact made after security implementation</v>
      </c>
    </row>
    <row r="2000" spans="1:3" x14ac:dyDescent="0.35">
      <c r="A2000" t="s">
        <v>14</v>
      </c>
      <c r="B2000" t="s">
        <v>2933</v>
      </c>
      <c r="C2000" t="str">
        <f t="shared" si="31"/>
        <v>Facilitated NetworkingPeer connect with a Gartner member with experience in successfully executing Blockchain initiatives</v>
      </c>
    </row>
    <row r="2001" spans="1:5" x14ac:dyDescent="0.35">
      <c r="A2001" t="s">
        <v>14</v>
      </c>
      <c r="B2001" t="s">
        <v>2959</v>
      </c>
      <c r="C2001" t="str">
        <f t="shared" si="31"/>
        <v>Facilitated NetworkingPlan to attend a local networking event: Gain new insights to reduce risk or deliver new initiatives.</v>
      </c>
    </row>
    <row r="2002" spans="1:5" x14ac:dyDescent="0.35">
      <c r="A2002" t="s">
        <v>14</v>
      </c>
      <c r="B2002" t="s">
        <v>3126</v>
      </c>
      <c r="C2002" t="str">
        <f t="shared" si="31"/>
        <v>Facilitated NetworkingMeet with a peer member regarding</v>
      </c>
      <c r="D2002" t="s">
        <v>136</v>
      </c>
      <c r="E2002" t="s">
        <v>137</v>
      </c>
    </row>
    <row r="2003" spans="1:5" x14ac:dyDescent="0.35">
      <c r="A2003" t="s">
        <v>14</v>
      </c>
      <c r="B2003" t="s">
        <v>3133</v>
      </c>
      <c r="C2003" t="str">
        <f t="shared" si="31"/>
        <v xml:space="preserve">Facilitated NetworkingConnect with a peer member regarding </v>
      </c>
      <c r="D2003" t="s">
        <v>285</v>
      </c>
      <c r="E2003" t="s">
        <v>3134</v>
      </c>
    </row>
    <row r="2004" spans="1:5" x14ac:dyDescent="0.35">
      <c r="A2004" t="s">
        <v>14</v>
      </c>
      <c r="B2004" t="s">
        <v>3148</v>
      </c>
      <c r="C2004" t="str">
        <f t="shared" si="31"/>
        <v xml:space="preserve">Facilitated NetworkingCollaborate with a peer member regarding </v>
      </c>
      <c r="D2004" t="s">
        <v>3149</v>
      </c>
      <c r="E2004" t="s">
        <v>3150</v>
      </c>
    </row>
    <row r="2005" spans="1:5" x14ac:dyDescent="0.35">
      <c r="A2005" t="s">
        <v>14</v>
      </c>
      <c r="B2005" t="s">
        <v>3154</v>
      </c>
      <c r="C2005" t="str">
        <f t="shared" si="31"/>
        <v>Facilitated NetworkingPeer network for sharing the best practices on identifying new digital capabilities that deliver optimization but also enable digital transformation</v>
      </c>
    </row>
    <row r="2006" spans="1:5" x14ac:dyDescent="0.35">
      <c r="A2006" t="s">
        <v>14</v>
      </c>
      <c r="B2006" t="s">
        <v>3180</v>
      </c>
      <c r="C2006" t="str">
        <f t="shared" si="31"/>
        <v xml:space="preserve">Facilitated NetworkingPeer Network with a client to benchmark customer experience process in industry
</v>
      </c>
    </row>
    <row r="2007" spans="1:5" x14ac:dyDescent="0.35">
      <c r="A2007" t="s">
        <v>14</v>
      </c>
      <c r="B2007" t="s">
        <v>3201</v>
      </c>
      <c r="C2007" t="str">
        <f t="shared" si="31"/>
        <v>Facilitated NetworkingPeer network with client for sharing the best practices on applying best practices to build a better customer experience</v>
      </c>
    </row>
    <row r="2008" spans="1:5" x14ac:dyDescent="0.35">
      <c r="A2008" t="s">
        <v>14</v>
      </c>
      <c r="B2008" t="s">
        <v>3148</v>
      </c>
      <c r="C2008" t="str">
        <f t="shared" si="31"/>
        <v xml:space="preserve">Facilitated NetworkingCollaborate with a peer member regarding </v>
      </c>
      <c r="D2008" t="s">
        <v>3216</v>
      </c>
      <c r="E2008" t="s">
        <v>3217</v>
      </c>
    </row>
    <row r="2009" spans="1:5" x14ac:dyDescent="0.35">
      <c r="A2009" t="s">
        <v>14</v>
      </c>
      <c r="B2009" t="s">
        <v>3243</v>
      </c>
      <c r="C2009" t="str">
        <f t="shared" si="31"/>
        <v>Facilitated NetworkingMeet with a peer member regarding Redesign the IT Operating Model to Accelerate Digital Business</v>
      </c>
    </row>
    <row r="2010" spans="1:5" x14ac:dyDescent="0.35">
      <c r="A2010" t="s">
        <v>14</v>
      </c>
      <c r="B2010" t="s">
        <v>3244</v>
      </c>
      <c r="C2010" t="str">
        <f t="shared" si="31"/>
        <v>Facilitated NetworkingPeer network on organization planning, including the definition and communication of new roles and responsibilities needed during and after transition</v>
      </c>
    </row>
    <row r="2011" spans="1:5" x14ac:dyDescent="0.35">
      <c r="A2011" t="s">
        <v>14</v>
      </c>
      <c r="B2011" t="s">
        <v>3249</v>
      </c>
      <c r="C2011" t="str">
        <f t="shared" si="31"/>
        <v xml:space="preserve">Facilitated NetworkingMeet with a peer member regarding 
</v>
      </c>
      <c r="D2011" t="s">
        <v>3250</v>
      </c>
      <c r="E2011" t="s">
        <v>3251</v>
      </c>
    </row>
    <row r="2012" spans="1:5" x14ac:dyDescent="0.35">
      <c r="A2012" t="s">
        <v>14</v>
      </c>
      <c r="B2012" t="s">
        <v>3244</v>
      </c>
      <c r="C2012" t="str">
        <f t="shared" si="31"/>
        <v>Facilitated NetworkingPeer network on organization planning, including the definition and communication of new roles and responsibilities needed during and after transition</v>
      </c>
    </row>
    <row r="2013" spans="1:5" x14ac:dyDescent="0.35">
      <c r="A2013" t="s">
        <v>14</v>
      </c>
      <c r="B2013" t="s">
        <v>3282</v>
      </c>
      <c r="C2013" t="str">
        <f t="shared" si="31"/>
        <v>Facilitated NetworkingPeer network with client for sharing the best practices on  establishing IT vendor management governance and capability maturity</v>
      </c>
    </row>
    <row r="2014" spans="1:5" x14ac:dyDescent="0.35">
      <c r="A2014" t="s">
        <v>14</v>
      </c>
      <c r="B2014" t="s">
        <v>3133</v>
      </c>
      <c r="C2014" t="str">
        <f t="shared" si="31"/>
        <v xml:space="preserve">Facilitated NetworkingConnect with a peer member regarding </v>
      </c>
      <c r="D2014" t="s">
        <v>3311</v>
      </c>
      <c r="E2014" t="s">
        <v>3312</v>
      </c>
    </row>
    <row r="2015" spans="1:5" x14ac:dyDescent="0.35">
      <c r="A2015" t="s">
        <v>14</v>
      </c>
      <c r="B2015" t="s">
        <v>3320</v>
      </c>
      <c r="C2015" t="str">
        <f t="shared" si="31"/>
        <v>Facilitated NetworkingPeer network with client on the advantages of Early adoption AI and how to set the stage for transforming business models and processes</v>
      </c>
    </row>
    <row r="2016" spans="1:5" x14ac:dyDescent="0.35">
      <c r="A2016" t="s">
        <v>14</v>
      </c>
      <c r="B2016" t="s">
        <v>3325</v>
      </c>
      <c r="C2016" t="str">
        <f t="shared" si="31"/>
        <v>Facilitated NetworkingMeet with a peer member for developing AI skills</v>
      </c>
      <c r="D2016" t="s">
        <v>3326</v>
      </c>
      <c r="E2016" t="s">
        <v>3327</v>
      </c>
    </row>
    <row r="2017" spans="1:5" x14ac:dyDescent="0.35">
      <c r="A2017" t="s">
        <v>14</v>
      </c>
      <c r="B2017" t="s">
        <v>3133</v>
      </c>
      <c r="C2017" t="str">
        <f t="shared" si="31"/>
        <v xml:space="preserve">Facilitated NetworkingConnect with a peer member regarding </v>
      </c>
      <c r="D2017" t="s">
        <v>3332</v>
      </c>
      <c r="E2017" t="s">
        <v>3333</v>
      </c>
    </row>
    <row r="2018" spans="1:5" x14ac:dyDescent="0.35">
      <c r="A2018" t="s">
        <v>14</v>
      </c>
      <c r="B2018" t="s">
        <v>3359</v>
      </c>
      <c r="C2018" t="str">
        <f t="shared" si="31"/>
        <v xml:space="preserve">Facilitated NetworkingPeer network with client for sharing the best practices on how a service management office (SMO) can provide value </v>
      </c>
    </row>
    <row r="2019" spans="1:5" x14ac:dyDescent="0.35">
      <c r="A2019" t="s">
        <v>14</v>
      </c>
      <c r="B2019" t="s">
        <v>3363</v>
      </c>
      <c r="C2019" t="str">
        <f t="shared" si="31"/>
        <v>Facilitated NetworkingLeverage Research on how to apply current risk management approaches and adjust to fit the new risks of the digital world</v>
      </c>
      <c r="D2019" t="s">
        <v>3364</v>
      </c>
      <c r="E2019" t="s">
        <v>3365</v>
      </c>
    </row>
    <row r="2020" spans="1:5" x14ac:dyDescent="0.35">
      <c r="A2020" t="s">
        <v>14</v>
      </c>
      <c r="B2020" t="s">
        <v>3404</v>
      </c>
      <c r="C2020" t="str">
        <f t="shared" si="31"/>
        <v>Facilitated NetworkingPeer network with client for driving inherent synergies between data and application a unified and pervasive set of disciplines</v>
      </c>
    </row>
    <row r="2021" spans="1:5" x14ac:dyDescent="0.35">
      <c r="A2021" t="s">
        <v>14</v>
      </c>
      <c r="B2021" t="s">
        <v>3431</v>
      </c>
      <c r="C2021" t="str">
        <f t="shared" si="31"/>
        <v>Facilitated NetworkingAttend Webinar on Office 365 and Digital Dexterity</v>
      </c>
      <c r="D2021" t="s">
        <v>3432</v>
      </c>
      <c r="E2021" t="s">
        <v>3433</v>
      </c>
    </row>
    <row r="2022" spans="1:5" x14ac:dyDescent="0.35">
      <c r="A2022" t="s">
        <v>14</v>
      </c>
      <c r="B2022" t="s">
        <v>3431</v>
      </c>
      <c r="C2022" t="str">
        <f t="shared" si="31"/>
        <v>Facilitated NetworkingAttend Webinar on Office 365 and Digital Dexterity</v>
      </c>
      <c r="D2022" t="s">
        <v>3434</v>
      </c>
      <c r="E2022" t="s">
        <v>3435</v>
      </c>
    </row>
    <row r="2023" spans="1:5" x14ac:dyDescent="0.35">
      <c r="A2023" t="s">
        <v>14</v>
      </c>
      <c r="B2023" t="s">
        <v>3448</v>
      </c>
      <c r="C2023" t="str">
        <f t="shared" si="31"/>
        <v>Facilitated NetworkingUnderstand different peer perspectives on O365</v>
      </c>
      <c r="D2023" t="s">
        <v>3449</v>
      </c>
      <c r="E2023" t="s">
        <v>2222</v>
      </c>
    </row>
    <row r="2024" spans="1:5" x14ac:dyDescent="0.35">
      <c r="A2024" t="s">
        <v>14</v>
      </c>
      <c r="B2024" t="s">
        <v>3482</v>
      </c>
      <c r="C2024" t="str">
        <f t="shared" si="31"/>
        <v>Facilitated NetworkingMeet with a peer member for an understanding of the business drivers that enable competition, and the business value of DevOps</v>
      </c>
    </row>
    <row r="2025" spans="1:5" x14ac:dyDescent="0.35">
      <c r="A2025" t="s">
        <v>14</v>
      </c>
      <c r="B2025" t="s">
        <v>3493</v>
      </c>
      <c r="C2025" t="str">
        <f t="shared" si="31"/>
        <v xml:space="preserve">Facilitated NetworkingMeet with a peer member regarding   </v>
      </c>
      <c r="D2025" t="s">
        <v>3494</v>
      </c>
      <c r="E2025" t="s">
        <v>3495</v>
      </c>
    </row>
    <row r="2026" spans="1:5" x14ac:dyDescent="0.35">
      <c r="A2026" t="s">
        <v>14</v>
      </c>
      <c r="B2026" t="s">
        <v>3493</v>
      </c>
      <c r="C2026" t="str">
        <f t="shared" si="31"/>
        <v xml:space="preserve">Facilitated NetworkingMeet with a peer member regarding   </v>
      </c>
      <c r="D2026" t="s">
        <v>3505</v>
      </c>
      <c r="E2026" t="s">
        <v>3506</v>
      </c>
    </row>
    <row r="2027" spans="1:5" x14ac:dyDescent="0.35">
      <c r="A2027" t="s">
        <v>14</v>
      </c>
      <c r="B2027" t="s">
        <v>3553</v>
      </c>
      <c r="C2027" t="str">
        <f t="shared" si="31"/>
        <v xml:space="preserve">Facilitated NetworkingPeer Network with a client to know best practices and benchmark the processes </v>
      </c>
    </row>
    <row r="2028" spans="1:5" x14ac:dyDescent="0.35">
      <c r="A2028" t="s">
        <v>14</v>
      </c>
      <c r="B2028" t="s">
        <v>3638</v>
      </c>
      <c r="C2028" t="str">
        <f t="shared" si="31"/>
        <v>Facilitated NetworkingPeer network with a client to understand best practices and benchmark the processes</v>
      </c>
    </row>
    <row r="2029" spans="1:5" x14ac:dyDescent="0.35">
      <c r="A2029" t="s">
        <v>14</v>
      </c>
      <c r="B2029" t="s">
        <v>3675</v>
      </c>
      <c r="C2029" t="str">
        <f t="shared" si="31"/>
        <v>Facilitated NetworkingDiscuss short-list vendors with peers who have worked with those vendors.</v>
      </c>
    </row>
    <row r="2030" spans="1:5" x14ac:dyDescent="0.35">
      <c r="A2030" t="s">
        <v>14</v>
      </c>
      <c r="B2030" t="s">
        <v>3706</v>
      </c>
      <c r="C2030" t="str">
        <f t="shared" si="31"/>
        <v>Facilitated NetworkingDiscuss advanced approaches to Security Awareness with peers.</v>
      </c>
    </row>
    <row r="2031" spans="1:5" x14ac:dyDescent="0.35">
      <c r="A2031" t="s">
        <v>14</v>
      </c>
      <c r="B2031" t="s">
        <v>3737</v>
      </c>
      <c r="C2031" t="str">
        <f t="shared" si="31"/>
        <v xml:space="preserve">Facilitated NetworkingMeet with a peer member regarding </v>
      </c>
      <c r="D2031" t="s">
        <v>3738</v>
      </c>
      <c r="E2031" t="s">
        <v>3739</v>
      </c>
    </row>
    <row r="2032" spans="1:5" x14ac:dyDescent="0.35">
      <c r="A2032" t="s">
        <v>14</v>
      </c>
      <c r="B2032" t="s">
        <v>3815</v>
      </c>
      <c r="C2032" t="str">
        <f t="shared" si="31"/>
        <v xml:space="preserve">Facilitated NetworkingCollaborate with peer member regarding </v>
      </c>
      <c r="D2032" t="s">
        <v>3816</v>
      </c>
      <c r="E2032" t="s">
        <v>3817</v>
      </c>
    </row>
    <row r="2033" spans="1:5" x14ac:dyDescent="0.35">
      <c r="A2033" t="s">
        <v>14</v>
      </c>
      <c r="B2033" t="s">
        <v>3133</v>
      </c>
      <c r="C2033" t="str">
        <f t="shared" si="31"/>
        <v xml:space="preserve">Facilitated NetworkingConnect with a peer member regarding </v>
      </c>
      <c r="D2033" t="s">
        <v>3820</v>
      </c>
      <c r="E2033" t="s">
        <v>3821</v>
      </c>
    </row>
    <row r="2034" spans="1:5" x14ac:dyDescent="0.35">
      <c r="A2034" t="s">
        <v>14</v>
      </c>
      <c r="B2034" t="s">
        <v>3946</v>
      </c>
      <c r="C2034" t="str">
        <f t="shared" si="31"/>
        <v xml:space="preserve">Facilitated NetworkingPeer network with client to understand best practices to improve performance of EA Organizational structures </v>
      </c>
    </row>
    <row r="2035" spans="1:5" x14ac:dyDescent="0.35">
      <c r="A2035" t="s">
        <v>14</v>
      </c>
      <c r="B2035" t="s">
        <v>3133</v>
      </c>
      <c r="C2035" t="str">
        <f t="shared" si="31"/>
        <v xml:space="preserve">Facilitated NetworkingConnect with a peer member regarding </v>
      </c>
      <c r="D2035" t="s">
        <v>4037</v>
      </c>
      <c r="E2035" t="s">
        <v>4038</v>
      </c>
    </row>
    <row r="2036" spans="1:5" x14ac:dyDescent="0.35">
      <c r="A2036" t="s">
        <v>14</v>
      </c>
      <c r="B2036" t="s">
        <v>4140</v>
      </c>
      <c r="C2036" t="str">
        <f t="shared" si="31"/>
        <v>Facilitated NetworkingPeer network with client for a brief understanding of the financials including platform ownership costs</v>
      </c>
    </row>
    <row r="2037" spans="1:5" x14ac:dyDescent="0.35">
      <c r="A2037" t="s">
        <v>14</v>
      </c>
      <c r="B2037" t="s">
        <v>4185</v>
      </c>
      <c r="C2037" t="str">
        <f t="shared" si="31"/>
        <v>Facilitated NetworkingPeer network with one of the clients for best practice sharing on modernizing infrastructure without chaos</v>
      </c>
    </row>
    <row r="2038" spans="1:5" x14ac:dyDescent="0.35">
      <c r="A2038" t="s">
        <v>21</v>
      </c>
      <c r="B2038" t="s">
        <v>2842</v>
      </c>
      <c r="C2038" t="str">
        <f t="shared" si="31"/>
        <v>Leadership Devel CoachingWith Executive Partner - gain insight from content designed to provide CIOs with knowledge &amp; competencies they will call on throughout  their career.</v>
      </c>
      <c r="D2038" t="s">
        <v>2843</v>
      </c>
      <c r="E2038" t="s">
        <v>2844</v>
      </c>
    </row>
    <row r="2039" spans="1:5" x14ac:dyDescent="0.35">
      <c r="A2039" t="s">
        <v>3388</v>
      </c>
      <c r="B2039" t="s">
        <v>3389</v>
      </c>
      <c r="C2039" t="str">
        <f t="shared" si="31"/>
        <v xml:space="preserve">Mid Year Check InLP Call to track progress and ensure successfully delivering against milestones </v>
      </c>
    </row>
    <row r="2040" spans="1:5" x14ac:dyDescent="0.35">
      <c r="A2040" t="s">
        <v>3388</v>
      </c>
      <c r="B2040" t="s">
        <v>3539</v>
      </c>
      <c r="C2040" t="str">
        <f t="shared" si="31"/>
        <v xml:space="preserve">Mid Year Check In LP Call to track progress and ensure successfully delivering against milestones 
</v>
      </c>
    </row>
    <row r="2041" spans="1:5" x14ac:dyDescent="0.35">
      <c r="A2041" t="s">
        <v>3388</v>
      </c>
      <c r="B2041" t="s">
        <v>3622</v>
      </c>
      <c r="C2041" t="str">
        <f t="shared" si="31"/>
        <v xml:space="preserve">Mid Year Check InLP Call to track progress and ensure successfully delivering against milestones  </v>
      </c>
    </row>
    <row r="2042" spans="1:5" x14ac:dyDescent="0.35">
      <c r="A2042" t="s">
        <v>3388</v>
      </c>
      <c r="B2042" t="s">
        <v>4114</v>
      </c>
      <c r="C2042" t="str">
        <f t="shared" si="31"/>
        <v>Mid Year Check InMid-Year Check-in</v>
      </c>
    </row>
    <row r="2043" spans="1:5" x14ac:dyDescent="0.35">
      <c r="A2043" t="s">
        <v>13</v>
      </c>
      <c r="B2043" t="s">
        <v>58</v>
      </c>
      <c r="C2043" t="str">
        <f t="shared" si="31"/>
        <v>Onsite WorkshopWorkshop on determining how to approach organizational design change.</v>
      </c>
    </row>
    <row r="2044" spans="1:5" x14ac:dyDescent="0.35">
      <c r="A2044" t="s">
        <v>13</v>
      </c>
      <c r="B2044" t="s">
        <v>156</v>
      </c>
      <c r="C2044" t="str">
        <f t="shared" si="31"/>
        <v>Onsite WorkshopWorkshop on digital business capabilities.</v>
      </c>
      <c r="D2044" t="s">
        <v>157</v>
      </c>
      <c r="E2044" t="s">
        <v>158</v>
      </c>
    </row>
    <row r="2045" spans="1:5" x14ac:dyDescent="0.35">
      <c r="A2045" t="s">
        <v>13</v>
      </c>
      <c r="B2045" t="s">
        <v>223</v>
      </c>
      <c r="C2045" t="str">
        <f t="shared" si="31"/>
        <v>Onsite WorkshopDigital government maturity workshop.</v>
      </c>
      <c r="D2045" t="s">
        <v>224</v>
      </c>
      <c r="E2045" t="s">
        <v>225</v>
      </c>
    </row>
    <row r="2046" spans="1:5" x14ac:dyDescent="0.35">
      <c r="A2046" t="s">
        <v>13</v>
      </c>
      <c r="B2046" t="s">
        <v>325</v>
      </c>
      <c r="C2046" t="str">
        <f t="shared" si="31"/>
        <v>Onsite WorkshopProvide support in communicating the Analytics Vision to the organization.</v>
      </c>
      <c r="D2046" t="s">
        <v>326</v>
      </c>
      <c r="E2046" t="s">
        <v>327</v>
      </c>
    </row>
    <row r="2047" spans="1:5" x14ac:dyDescent="0.35">
      <c r="A2047" t="s">
        <v>13</v>
      </c>
      <c r="B2047" t="s">
        <v>462</v>
      </c>
      <c r="C2047" t="str">
        <f t="shared" si="31"/>
        <v xml:space="preserve">Onsite Workshop[Optional] If no business strategy exists - Conduct One Page Strategy Workshop with Executive team. </v>
      </c>
      <c r="D2047" t="s">
        <v>463</v>
      </c>
      <c r="E2047" t="s">
        <v>464</v>
      </c>
    </row>
    <row r="2048" spans="1:5" x14ac:dyDescent="0.35">
      <c r="A2048" t="s">
        <v>13</v>
      </c>
      <c r="B2048" t="s">
        <v>465</v>
      </c>
      <c r="C2048" t="str">
        <f t="shared" si="31"/>
        <v xml:space="preserve">Onsite Workshop(*Optional) Strategy workshop to bring IT and potentially business stakeholders together for strategy vision &amp; alignment.
</v>
      </c>
    </row>
    <row r="2049" spans="1:5" x14ac:dyDescent="0.35">
      <c r="A2049" t="s">
        <v>13</v>
      </c>
      <c r="B2049" t="s">
        <v>521</v>
      </c>
      <c r="C2049" t="str">
        <f t="shared" si="31"/>
        <v xml:space="preserve">Onsite WorkshopEP led BVIT workshop: Identify, goals &amp; strategies, Map IT Initiatives to strategies. Identify metrics and baselines. </v>
      </c>
    </row>
    <row r="2050" spans="1:5" x14ac:dyDescent="0.35">
      <c r="A2050" t="s">
        <v>13</v>
      </c>
      <c r="B2050" t="s">
        <v>530</v>
      </c>
      <c r="C2050" t="str">
        <f t="shared" si="31"/>
        <v xml:space="preserve">Onsite Workshop(*Optional) EP led BVIT workshop: Identify, goals &amp; strategies, Map IT Initiatives to strategies. Identify metrics and baselines.  
</v>
      </c>
    </row>
    <row r="2051" spans="1:5" x14ac:dyDescent="0.35">
      <c r="A2051" t="s">
        <v>13</v>
      </c>
      <c r="B2051" t="s">
        <v>574</v>
      </c>
      <c r="C2051" t="str">
        <f t="shared" ref="C2051:C2114" si="32">CONCATENATE(A2051,B2051)</f>
        <v>Onsite WorkshopM&amp;A Integration (Assess readiness, create elevator pitch, agree integration principles, plan work streams, identify risks).</v>
      </c>
    </row>
    <row r="2052" spans="1:5" x14ac:dyDescent="0.35">
      <c r="A2052" t="s">
        <v>13</v>
      </c>
      <c r="B2052" t="s">
        <v>616</v>
      </c>
      <c r="C2052" t="str">
        <f t="shared" si="32"/>
        <v>Onsite WorkshopKick-off workshop: Generate ideas, review trends, identify problem areas and technology opportunities.</v>
      </c>
      <c r="D2052" t="s">
        <v>617</v>
      </c>
      <c r="E2052" t="s">
        <v>618</v>
      </c>
    </row>
    <row r="2053" spans="1:5" x14ac:dyDescent="0.35">
      <c r="A2053" t="s">
        <v>13</v>
      </c>
      <c r="B2053" t="s">
        <v>664</v>
      </c>
      <c r="C2053" t="str">
        <f t="shared" si="32"/>
        <v>Onsite WorkshopPresent a baseline from the IT Budget Tool. Perform a benefits realization assessment.</v>
      </c>
    </row>
    <row r="2054" spans="1:5" x14ac:dyDescent="0.35">
      <c r="A2054" t="s">
        <v>13</v>
      </c>
      <c r="B2054" t="s">
        <v>831</v>
      </c>
      <c r="C2054" t="str">
        <f t="shared" si="32"/>
        <v xml:space="preserve">Onsite WorkshopWorkshop cultivating leadership mindsets and behaviors.
</v>
      </c>
      <c r="D2054" t="s">
        <v>811</v>
      </c>
      <c r="E2054" t="s">
        <v>832</v>
      </c>
    </row>
    <row r="2055" spans="1:5" x14ac:dyDescent="0.35">
      <c r="A2055" t="s">
        <v>13</v>
      </c>
      <c r="B2055" t="s">
        <v>842</v>
      </c>
      <c r="C2055" t="str">
        <f t="shared" si="32"/>
        <v>Onsite WorkshopBusiness Model Leadership — The CIO’s Greatest Value Contribution</v>
      </c>
    </row>
    <row r="2056" spans="1:5" x14ac:dyDescent="0.35">
      <c r="A2056" t="s">
        <v>13</v>
      </c>
      <c r="B2056" t="s">
        <v>899</v>
      </c>
      <c r="C2056" t="str">
        <f t="shared" si="32"/>
        <v>Onsite WorkshopWorkshop with the IT leadership team to launch the ITScore assessment process.</v>
      </c>
      <c r="D2056" t="s">
        <v>900</v>
      </c>
      <c r="E2056" t="s">
        <v>901</v>
      </c>
    </row>
    <row r="2057" spans="1:5" x14ac:dyDescent="0.35">
      <c r="A2057" t="s">
        <v>13</v>
      </c>
      <c r="B2057" t="s">
        <v>931</v>
      </c>
      <c r="C2057" t="str">
        <f t="shared" si="32"/>
        <v>Onsite WorkshopGet the Right People in Your Digital Organization.</v>
      </c>
    </row>
    <row r="2058" spans="1:5" x14ac:dyDescent="0.35">
      <c r="A2058" t="s">
        <v>13</v>
      </c>
      <c r="B2058" t="s">
        <v>968</v>
      </c>
      <c r="C2058" t="str">
        <f t="shared" si="32"/>
        <v xml:space="preserve">Onsite WorkshopWorkshop to develop and communicate a  “change story” to help employees navigate the change journey. 
</v>
      </c>
      <c r="D2058" t="s">
        <v>969</v>
      </c>
      <c r="E2058" t="s">
        <v>67</v>
      </c>
    </row>
    <row r="2059" spans="1:5" x14ac:dyDescent="0.35">
      <c r="A2059" t="s">
        <v>13</v>
      </c>
      <c r="B2059" t="s">
        <v>1124</v>
      </c>
      <c r="C2059" t="str">
        <f t="shared" si="32"/>
        <v>Onsite Workshop(*Optional) Workshop with EP to formulate and refine strong application principles.</v>
      </c>
      <c r="D2059" t="s">
        <v>1125</v>
      </c>
      <c r="E2059" t="s">
        <v>1126</v>
      </c>
    </row>
    <row r="2060" spans="1:5" x14ac:dyDescent="0.35">
      <c r="A2060" t="s">
        <v>13</v>
      </c>
      <c r="B2060" t="s">
        <v>1331</v>
      </c>
      <c r="C2060" t="str">
        <f t="shared" si="32"/>
        <v xml:space="preserve">Onsite WorkshopAlign stakeholders around a shared digital vision. 
</v>
      </c>
      <c r="D2060" t="s">
        <v>1332</v>
      </c>
      <c r="E2060" t="s">
        <v>1333</v>
      </c>
    </row>
    <row r="2061" spans="1:5" x14ac:dyDescent="0.35">
      <c r="A2061" t="s">
        <v>13</v>
      </c>
      <c r="B2061" t="s">
        <v>1334</v>
      </c>
      <c r="C2061" t="str">
        <f t="shared" si="32"/>
        <v>Onsite WorkshopEP Led Workshop The digital transformation journey.</v>
      </c>
      <c r="D2061" t="s">
        <v>1335</v>
      </c>
      <c r="E2061" t="s">
        <v>1336</v>
      </c>
    </row>
    <row r="2062" spans="1:5" x14ac:dyDescent="0.35">
      <c r="A2062" t="s">
        <v>13</v>
      </c>
      <c r="B2062" t="s">
        <v>1422</v>
      </c>
      <c r="C2062" t="str">
        <f t="shared" si="32"/>
        <v>Onsite WorkshopWorkshop to enable effective strategic planning on the selected initial projects for digital.</v>
      </c>
      <c r="D2062" t="s">
        <v>1423</v>
      </c>
      <c r="E2062" t="s">
        <v>1424</v>
      </c>
    </row>
    <row r="2063" spans="1:5" x14ac:dyDescent="0.35">
      <c r="A2063" t="s">
        <v>13</v>
      </c>
      <c r="B2063" t="s">
        <v>1734</v>
      </c>
      <c r="C2063" t="str">
        <f t="shared" si="32"/>
        <v>Onsite WorkshopDetermine impact of hybrid WAN implementation enabled by SD-WAN</v>
      </c>
      <c r="D2063" t="s">
        <v>1735</v>
      </c>
      <c r="E2063" t="s">
        <v>1736</v>
      </c>
    </row>
    <row r="2064" spans="1:5" x14ac:dyDescent="0.35">
      <c r="A2064" t="s">
        <v>13</v>
      </c>
      <c r="B2064" t="s">
        <v>1803</v>
      </c>
      <c r="C2064" t="str">
        <f t="shared" si="32"/>
        <v>Onsite WorkshopWork with an EP. Analyze, assess and revamp your data retention strategy.</v>
      </c>
      <c r="D2064" t="s">
        <v>1804</v>
      </c>
      <c r="E2064" t="s">
        <v>1805</v>
      </c>
    </row>
    <row r="2065" spans="1:5" x14ac:dyDescent="0.35">
      <c r="A2065" t="s">
        <v>13</v>
      </c>
      <c r="B2065" t="s">
        <v>1865</v>
      </c>
      <c r="C2065" t="str">
        <f t="shared" si="32"/>
        <v>Onsite WorkshopPrepare for IT Service Portfolio workshop.</v>
      </c>
      <c r="D2065" t="s">
        <v>1866</v>
      </c>
      <c r="E2065" t="s">
        <v>1867</v>
      </c>
    </row>
    <row r="2066" spans="1:5" x14ac:dyDescent="0.35">
      <c r="A2066" t="s">
        <v>13</v>
      </c>
      <c r="B2066" t="s">
        <v>1925</v>
      </c>
      <c r="C2066" t="str">
        <f t="shared" si="32"/>
        <v>Onsite WorkshopIdentify technologies that will accelerate strategy execution.</v>
      </c>
      <c r="D2066" t="s">
        <v>1926</v>
      </c>
      <c r="E2066" t="s">
        <v>1927</v>
      </c>
    </row>
    <row r="2067" spans="1:5" x14ac:dyDescent="0.35">
      <c r="A2067" t="s">
        <v>13</v>
      </c>
      <c r="B2067" t="s">
        <v>1956</v>
      </c>
      <c r="C2067" t="str">
        <f t="shared" si="32"/>
        <v xml:space="preserve">Onsite WorkshopAlign business priorities to technology requirements and create roadmap:  </v>
      </c>
      <c r="D2067" t="s">
        <v>1957</v>
      </c>
      <c r="E2067" t="s">
        <v>1958</v>
      </c>
    </row>
    <row r="2068" spans="1:5" x14ac:dyDescent="0.35">
      <c r="A2068" t="s">
        <v>13</v>
      </c>
      <c r="B2068" t="s">
        <v>1959</v>
      </c>
      <c r="C2068" t="str">
        <f t="shared" si="32"/>
        <v xml:space="preserve">Onsite WorkshopHave an onsite-worshop on 360 degree view of customer in a unified commerce environment: </v>
      </c>
    </row>
    <row r="2069" spans="1:5" x14ac:dyDescent="0.35">
      <c r="A2069" t="s">
        <v>13</v>
      </c>
      <c r="B2069" t="s">
        <v>2042</v>
      </c>
      <c r="C2069" t="str">
        <f t="shared" si="32"/>
        <v>Onsite WorkshopStrategy Kickoff workshop.</v>
      </c>
      <c r="D2069" t="s">
        <v>2043</v>
      </c>
      <c r="E2069" t="s">
        <v>2044</v>
      </c>
    </row>
    <row r="2070" spans="1:5" x14ac:dyDescent="0.35">
      <c r="A2070" t="s">
        <v>13</v>
      </c>
      <c r="B2070" t="s">
        <v>2154</v>
      </c>
      <c r="C2070" t="str">
        <f t="shared" si="32"/>
        <v xml:space="preserve">Onsite WorkshopSupport rationalization by developing a set of clear principles that communicate how decisions re: technology, methodology and architecture are made. </v>
      </c>
      <c r="D2070" t="s">
        <v>2155</v>
      </c>
      <c r="E2070" t="s">
        <v>1126</v>
      </c>
    </row>
    <row r="2071" spans="1:5" x14ac:dyDescent="0.35">
      <c r="A2071" t="s">
        <v>13</v>
      </c>
      <c r="B2071" t="s">
        <v>2323</v>
      </c>
      <c r="C2071" t="str">
        <f t="shared" si="32"/>
        <v xml:space="preserve">Onsite WorkshopAlign business stakeholders around a shared vision for digital transformation. </v>
      </c>
      <c r="D2071" t="s">
        <v>1332</v>
      </c>
      <c r="E2071" t="s">
        <v>1333</v>
      </c>
    </row>
    <row r="2072" spans="1:5" x14ac:dyDescent="0.35">
      <c r="A2072" t="s">
        <v>13</v>
      </c>
      <c r="B2072" t="s">
        <v>2337</v>
      </c>
      <c r="C2072" t="str">
        <f t="shared" si="32"/>
        <v>Onsite WorkshopWorkshop with the IT leadership team to launch the ITScore assessment process and undertake the Executive View assessment that is a key benchmark.</v>
      </c>
      <c r="D2072" t="s">
        <v>900</v>
      </c>
      <c r="E2072" t="s">
        <v>901</v>
      </c>
    </row>
    <row r="2073" spans="1:5" x14ac:dyDescent="0.35">
      <c r="A2073" t="s">
        <v>13</v>
      </c>
      <c r="B2073" t="s">
        <v>2348</v>
      </c>
      <c r="C2073" t="str">
        <f t="shared" si="32"/>
        <v>Onsite WorkshopPresent a baseline from the IT Budget Tool. Review ITCO opportunities. Perform a benefits realization assessment. Mobilize the team.</v>
      </c>
    </row>
    <row r="2074" spans="1:5" x14ac:dyDescent="0.35">
      <c r="A2074" t="s">
        <v>13</v>
      </c>
      <c r="B2074" t="s">
        <v>2373</v>
      </c>
      <c r="C2074" t="str">
        <f t="shared" si="32"/>
        <v>Onsite WorkshopStrategy kick-off session after consultation with the CIO to bring IT and potentially business stakeholders together for strategy vision &amp; alignment.</v>
      </c>
    </row>
    <row r="2075" spans="1:5" x14ac:dyDescent="0.35">
      <c r="A2075" t="s">
        <v>13</v>
      </c>
      <c r="B2075" t="s">
        <v>2415</v>
      </c>
      <c r="C2075" t="str">
        <f t="shared" si="32"/>
        <v xml:space="preserve">Onsite WorkshopExecutive Partner led Business Value workshop: Identify, goals &amp; strategies, Map IT Initiatives to strategies. Identify metrics and baselines.  </v>
      </c>
    </row>
    <row r="2076" spans="1:5" x14ac:dyDescent="0.35">
      <c r="A2076" t="s">
        <v>13</v>
      </c>
      <c r="B2076" t="s">
        <v>2480</v>
      </c>
      <c r="C2076" t="str">
        <f t="shared" si="32"/>
        <v>Onsite WorkshopInternal session to bring IT and business stakeholders together for strategy vision &amp; alignment on Cloud.</v>
      </c>
      <c r="D2076" t="s">
        <v>2481</v>
      </c>
      <c r="E2076" t="s">
        <v>2482</v>
      </c>
    </row>
    <row r="2077" spans="1:5" x14ac:dyDescent="0.35">
      <c r="A2077" t="s">
        <v>13</v>
      </c>
      <c r="B2077" t="s">
        <v>2511</v>
      </c>
      <c r="C2077" t="str">
        <f t="shared" si="32"/>
        <v>Onsite WorkshopOn improving the effectiveness of IT Leadership Team: identifying behavior modifications, creating teams that capitalizes on members' strengths, etc.</v>
      </c>
      <c r="D2077" t="s">
        <v>2512</v>
      </c>
      <c r="E2077" t="s">
        <v>2513</v>
      </c>
    </row>
    <row r="2078" spans="1:5" x14ac:dyDescent="0.35">
      <c r="A2078" t="s">
        <v>13</v>
      </c>
      <c r="B2078" t="s">
        <v>2710</v>
      </c>
      <c r="C2078" t="str">
        <f t="shared" si="32"/>
        <v>Onsite WorkshopTo introduce the Five Situational Leadership Types to your management team. Includes a self-assessment questionnaire to use with participants.</v>
      </c>
      <c r="D2078" t="s">
        <v>2711</v>
      </c>
      <c r="E2078" t="s">
        <v>2712</v>
      </c>
    </row>
    <row r="2079" spans="1:5" x14ac:dyDescent="0.35">
      <c r="A2079" t="s">
        <v>13</v>
      </c>
      <c r="B2079" t="s">
        <v>2850</v>
      </c>
      <c r="C2079" t="str">
        <f t="shared" si="32"/>
        <v>Onsite WorkshopIntroduce the Five Situational Leadership Types to your management team. Includes a self-assessment questionnaire to use with participants.
Toolkit</v>
      </c>
      <c r="D2079" t="s">
        <v>2711</v>
      </c>
      <c r="E2079" t="s">
        <v>2712</v>
      </c>
    </row>
    <row r="2080" spans="1:5" x14ac:dyDescent="0.35">
      <c r="A2080" t="s">
        <v>13</v>
      </c>
      <c r="B2080" t="s">
        <v>2921</v>
      </c>
      <c r="C2080" t="str">
        <f t="shared" si="32"/>
        <v xml:space="preserve">Onsite WorkshopWorkshop on the four types of blockchain business initiatives and evaluate which ones will match the strategic objectives
</v>
      </c>
      <c r="D2080" t="s">
        <v>2922</v>
      </c>
      <c r="E2080" t="s">
        <v>2923</v>
      </c>
    </row>
    <row r="2081" spans="1:5" x14ac:dyDescent="0.35">
      <c r="A2081" t="s">
        <v>13</v>
      </c>
      <c r="B2081" t="s">
        <v>2969</v>
      </c>
      <c r="C2081" t="str">
        <f t="shared" si="32"/>
        <v>Onsite WorkshopConduct a workshop to align key stakeholders on the vision &amp; roadmap for transition.</v>
      </c>
      <c r="D2081" t="s">
        <v>2003</v>
      </c>
      <c r="E2081" t="s">
        <v>2004</v>
      </c>
    </row>
    <row r="2082" spans="1:5" x14ac:dyDescent="0.35">
      <c r="A2082" t="s">
        <v>13</v>
      </c>
      <c r="B2082" t="s">
        <v>2999</v>
      </c>
      <c r="C2082" t="str">
        <f t="shared" si="32"/>
        <v>Onsite WorkshopConduct a workshop to align key stakeholders on the vision &amp; roadmap for Project to Product transition.</v>
      </c>
      <c r="D2082" t="s">
        <v>2003</v>
      </c>
      <c r="E2082" t="s">
        <v>2004</v>
      </c>
    </row>
    <row r="2083" spans="1:5" x14ac:dyDescent="0.35">
      <c r="A2083" t="s">
        <v>13</v>
      </c>
      <c r="B2083" t="s">
        <v>3043</v>
      </c>
      <c r="C2083" t="str">
        <f t="shared" si="32"/>
        <v>Onsite WorkshopCreate effective value proposition frameworks for existing problem statements and articulate how blockchain may solve specific problems.</v>
      </c>
      <c r="D2083" t="s">
        <v>2925</v>
      </c>
      <c r="E2083" t="s">
        <v>3015</v>
      </c>
    </row>
    <row r="2084" spans="1:5" x14ac:dyDescent="0.35">
      <c r="A2084" t="s">
        <v>13</v>
      </c>
      <c r="B2084" t="s">
        <v>3053</v>
      </c>
      <c r="C2084" t="str">
        <f t="shared" si="32"/>
        <v>Onsite WorkshopOn-site or webex session to review requirements against business and technological goals and objectives and arrive at consensus</v>
      </c>
    </row>
    <row r="2085" spans="1:5" x14ac:dyDescent="0.35">
      <c r="A2085" t="s">
        <v>13</v>
      </c>
      <c r="B2085" t="s">
        <v>3057</v>
      </c>
      <c r="C2085" t="str">
        <f t="shared" si="32"/>
        <v>Onsite WorkshopOn-site or webex session to take requirements and start to model approaches, including design and architecture, for effective network security</v>
      </c>
    </row>
    <row r="2086" spans="1:5" x14ac:dyDescent="0.35">
      <c r="A2086" t="s">
        <v>13</v>
      </c>
      <c r="B2086" t="s">
        <v>3349</v>
      </c>
      <c r="C2086" t="str">
        <f t="shared" si="32"/>
        <v xml:space="preserve">Onsite WorkshopConduct ITScore workshop to determine service management process maturity. </v>
      </c>
    </row>
    <row r="2087" spans="1:5" x14ac:dyDescent="0.35">
      <c r="A2087" t="s">
        <v>13</v>
      </c>
      <c r="B2087" t="s">
        <v>3386</v>
      </c>
      <c r="C2087" t="str">
        <f t="shared" si="32"/>
        <v>Onsite WorkshopTo establish a strategy and roadmap to implement a enterprise data warehouse with tools and processes to drive better decision making</v>
      </c>
    </row>
    <row r="2088" spans="1:5" x14ac:dyDescent="0.35">
      <c r="A2088" t="s">
        <v>13</v>
      </c>
      <c r="B2088" t="s">
        <v>3513</v>
      </c>
      <c r="C2088" t="str">
        <f t="shared" si="32"/>
        <v>Onsite WorkshopLP to Validate the topic of Onsite Workshop</v>
      </c>
    </row>
    <row r="2089" spans="1:5" x14ac:dyDescent="0.35">
      <c r="A2089" t="s">
        <v>13</v>
      </c>
      <c r="B2089" t="s">
        <v>3566</v>
      </c>
      <c r="C2089" t="str">
        <f t="shared" si="32"/>
        <v>Onsite WorkshopDevelop plan for gathering information from key stakeholders for cloud security strategy development</v>
      </c>
    </row>
    <row r="2090" spans="1:5" x14ac:dyDescent="0.35">
      <c r="A2090" t="s">
        <v>13</v>
      </c>
      <c r="B2090" t="s">
        <v>3610</v>
      </c>
      <c r="C2090" t="str">
        <f t="shared" si="32"/>
        <v xml:space="preserve">Onsite WorkshopTo build a DevOps capabilities roadmap that includes potential key milestones </v>
      </c>
    </row>
    <row r="2091" spans="1:5" x14ac:dyDescent="0.35">
      <c r="A2091" t="s">
        <v>13</v>
      </c>
      <c r="B2091" t="s">
        <v>3663</v>
      </c>
      <c r="C2091" t="str">
        <f t="shared" si="32"/>
        <v>Onsite WorkshopReview program Vision, Mission &amp; Objectives, business-aligned use cases, metrics and staffing.  Discuss plan for building consensus, executive buy-in.</v>
      </c>
    </row>
    <row r="2092" spans="1:5" x14ac:dyDescent="0.35">
      <c r="A2092" t="s">
        <v>13</v>
      </c>
      <c r="B2092" t="s">
        <v>3722</v>
      </c>
      <c r="C2092" t="str">
        <f t="shared" si="32"/>
        <v>Onsite WorkshopDiscuss potential themes and create agenda for onsite session on Information Management Strategy and Implementation</v>
      </c>
    </row>
    <row r="2093" spans="1:5" x14ac:dyDescent="0.35">
      <c r="A2093" t="s">
        <v>13</v>
      </c>
      <c r="B2093" t="s">
        <v>3753</v>
      </c>
      <c r="C2093" t="str">
        <f t="shared" si="32"/>
        <v>Onsite WorkshopDevelop a plan for gathering information from key stakeholders with LP</v>
      </c>
    </row>
    <row r="2094" spans="1:5" x14ac:dyDescent="0.35">
      <c r="A2094" t="s">
        <v>13</v>
      </c>
      <c r="B2094" t="s">
        <v>4015</v>
      </c>
      <c r="C2094" t="str">
        <f t="shared" si="32"/>
        <v>Onsite WorkshopOnsite workshop on data integration capabilities</v>
      </c>
    </row>
    <row r="2095" spans="1:5" x14ac:dyDescent="0.35">
      <c r="A2095" t="s">
        <v>13</v>
      </c>
      <c r="B2095" t="s">
        <v>4170</v>
      </c>
      <c r="C2095" t="str">
        <f t="shared" si="32"/>
        <v>Onsite WorkshopOnsite workshop for advice on strategies and how to proceed with frameworks and roadmaps on Infrastructure modernization</v>
      </c>
    </row>
    <row r="2096" spans="1:5" x14ac:dyDescent="0.35">
      <c r="A2096" t="s">
        <v>23</v>
      </c>
      <c r="B2096" t="s">
        <v>3056</v>
      </c>
      <c r="C2096" t="str">
        <f t="shared" si="32"/>
        <v>Peer ForumAttend Gartner EITL Spring Peer Forum 2019 and talk to your peers on best practices in network security</v>
      </c>
    </row>
    <row r="2097" spans="1:5" x14ac:dyDescent="0.35">
      <c r="A2097" t="s">
        <v>23</v>
      </c>
      <c r="B2097" t="s">
        <v>3083</v>
      </c>
      <c r="C2097" t="str">
        <f t="shared" si="32"/>
        <v>Peer ForumAttend EITL Gartner Spring Peer Forum</v>
      </c>
    </row>
    <row r="2098" spans="1:5" x14ac:dyDescent="0.35">
      <c r="A2098" t="s">
        <v>23</v>
      </c>
      <c r="B2098" t="s">
        <v>3106</v>
      </c>
      <c r="C2098" t="str">
        <f t="shared" si="32"/>
        <v>Peer Forum Discuss various approaches to segmentation with peers to confirm approach or identify new ideas</v>
      </c>
    </row>
    <row r="2099" spans="1:5" x14ac:dyDescent="0.35">
      <c r="A2099" t="s">
        <v>23</v>
      </c>
      <c r="B2099" t="s">
        <v>3118</v>
      </c>
      <c r="C2099" t="str">
        <f t="shared" si="32"/>
        <v>Peer ForumAttend EITL Fall Peer Forum</v>
      </c>
    </row>
    <row r="2100" spans="1:5" x14ac:dyDescent="0.35">
      <c r="A2100" t="s">
        <v>23</v>
      </c>
      <c r="B2100" t="s">
        <v>3137</v>
      </c>
      <c r="C2100" t="str">
        <f t="shared" si="32"/>
        <v>Peer ForumAttend EITL Spring Peer Forum</v>
      </c>
    </row>
    <row r="2101" spans="1:5" x14ac:dyDescent="0.35">
      <c r="A2101" t="s">
        <v>23</v>
      </c>
      <c r="B2101" t="s">
        <v>3144</v>
      </c>
      <c r="C2101" t="str">
        <f t="shared" si="32"/>
        <v>Peer ForumAttend Spring 2018 Infrastructure &amp; Operations Peer Forum on April 23- 25th in Orlando, Florida</v>
      </c>
    </row>
    <row r="2102" spans="1:5" x14ac:dyDescent="0.35">
      <c r="A2102" t="s">
        <v>23</v>
      </c>
      <c r="B2102" t="s">
        <v>3118</v>
      </c>
      <c r="C2102" t="str">
        <f t="shared" si="32"/>
        <v>Peer ForumAttend EITL Fall Peer Forum</v>
      </c>
    </row>
    <row r="2103" spans="1:5" x14ac:dyDescent="0.35">
      <c r="A2103" t="s">
        <v>23</v>
      </c>
      <c r="B2103" t="s">
        <v>3137</v>
      </c>
      <c r="C2103" t="str">
        <f t="shared" si="32"/>
        <v>Peer ForumAttend EITL Spring Peer Forum</v>
      </c>
    </row>
    <row r="2104" spans="1:5" x14ac:dyDescent="0.35">
      <c r="A2104" t="s">
        <v>23</v>
      </c>
      <c r="B2104" t="s">
        <v>3144</v>
      </c>
      <c r="C2104" t="str">
        <f t="shared" si="32"/>
        <v>Peer ForumAttend Spring 2018 Infrastructure &amp; Operations Peer Forum on April 23- 25th in Orlando, Florida</v>
      </c>
    </row>
    <row r="2105" spans="1:5" x14ac:dyDescent="0.35">
      <c r="A2105" t="s">
        <v>23</v>
      </c>
      <c r="B2105" t="s">
        <v>3118</v>
      </c>
      <c r="C2105" t="str">
        <f t="shared" si="32"/>
        <v>Peer ForumAttend EITL Fall Peer Forum</v>
      </c>
    </row>
    <row r="2106" spans="1:5" x14ac:dyDescent="0.35">
      <c r="A2106" t="s">
        <v>23</v>
      </c>
      <c r="B2106" t="s">
        <v>3137</v>
      </c>
      <c r="C2106" t="str">
        <f t="shared" si="32"/>
        <v>Peer ForumAttend EITL Spring Peer Forum</v>
      </c>
    </row>
    <row r="2107" spans="1:5" x14ac:dyDescent="0.35">
      <c r="A2107" t="s">
        <v>23</v>
      </c>
      <c r="B2107" t="s">
        <v>3252</v>
      </c>
      <c r="C2107" t="str">
        <f t="shared" si="32"/>
        <v>Peer ForumUtilize the peer forums to meet with a Peer member regarding Redesign the IT Operating Model to Accelerate Digital Business</v>
      </c>
    </row>
    <row r="2108" spans="1:5" x14ac:dyDescent="0.35">
      <c r="A2108" t="s">
        <v>23</v>
      </c>
      <c r="B2108" t="s">
        <v>3270</v>
      </c>
      <c r="C2108" t="str">
        <f t="shared" si="32"/>
        <v>Peer ForumAttend EITL Gartner Fall Peer Forum</v>
      </c>
    </row>
    <row r="2109" spans="1:5" x14ac:dyDescent="0.35">
      <c r="A2109" t="s">
        <v>23</v>
      </c>
      <c r="B2109" t="s">
        <v>3083</v>
      </c>
      <c r="C2109" t="str">
        <f t="shared" si="32"/>
        <v>Peer ForumAttend EITL Gartner Spring Peer Forum</v>
      </c>
    </row>
    <row r="2110" spans="1:5" x14ac:dyDescent="0.35">
      <c r="A2110" t="s">
        <v>23</v>
      </c>
      <c r="B2110" t="s">
        <v>3118</v>
      </c>
      <c r="C2110" t="str">
        <f t="shared" si="32"/>
        <v>Peer ForumAttend EITL Fall Peer Forum</v>
      </c>
    </row>
    <row r="2111" spans="1:5" x14ac:dyDescent="0.35">
      <c r="A2111" t="s">
        <v>23</v>
      </c>
      <c r="B2111" t="s">
        <v>3137</v>
      </c>
      <c r="C2111" t="str">
        <f t="shared" si="32"/>
        <v>Peer ForumAttend EITL Spring Peer Forum</v>
      </c>
    </row>
    <row r="2112" spans="1:5" x14ac:dyDescent="0.35">
      <c r="A2112" t="s">
        <v>23</v>
      </c>
      <c r="B2112" t="s">
        <v>3314</v>
      </c>
      <c r="C2112" t="str">
        <f t="shared" si="32"/>
        <v>Peer ForumReview Research to understand how I&amp;O leaders should begin the deployment of AIOps platforms to enhance performance monitoring</v>
      </c>
      <c r="D2112" t="s">
        <v>3315</v>
      </c>
      <c r="E2112" t="s">
        <v>3316</v>
      </c>
    </row>
    <row r="2113" spans="1:5" x14ac:dyDescent="0.35">
      <c r="A2113" t="s">
        <v>23</v>
      </c>
      <c r="B2113" t="s">
        <v>3118</v>
      </c>
      <c r="C2113" t="str">
        <f t="shared" si="32"/>
        <v>Peer ForumAttend EITL Fall Peer Forum</v>
      </c>
    </row>
    <row r="2114" spans="1:5" x14ac:dyDescent="0.35">
      <c r="A2114" t="s">
        <v>23</v>
      </c>
      <c r="B2114" t="s">
        <v>3137</v>
      </c>
      <c r="C2114" t="str">
        <f t="shared" si="32"/>
        <v>Peer ForumAttend EITL Spring Peer Forum</v>
      </c>
    </row>
    <row r="2115" spans="1:5" x14ac:dyDescent="0.35">
      <c r="A2115" t="s">
        <v>23</v>
      </c>
      <c r="B2115" t="s">
        <v>3360</v>
      </c>
      <c r="C2115" t="str">
        <f t="shared" ref="C2115:C2178" si="33">CONCATENATE(A2115,B2115)</f>
        <v xml:space="preserve">Peer ForumAttend Fall 2018 Infrastructure &amp; Operations Peer Forum </v>
      </c>
      <c r="D2115" t="s">
        <v>3361</v>
      </c>
      <c r="E2115" t="s">
        <v>3362</v>
      </c>
    </row>
    <row r="2116" spans="1:5" x14ac:dyDescent="0.35">
      <c r="A2116" t="s">
        <v>23</v>
      </c>
      <c r="B2116" t="s">
        <v>3373</v>
      </c>
      <c r="C2116" t="str">
        <f t="shared" si="33"/>
        <v>Peer ForumAttend Gartner EITL Fall Peer Forum 2018</v>
      </c>
    </row>
    <row r="2117" spans="1:5" x14ac:dyDescent="0.35">
      <c r="A2117" t="s">
        <v>23</v>
      </c>
      <c r="B2117" t="s">
        <v>3390</v>
      </c>
      <c r="C2117" t="str">
        <f t="shared" si="33"/>
        <v>Peer ForumAttend Gartner EITL Spring Peer Forum 2019</v>
      </c>
    </row>
    <row r="2118" spans="1:5" x14ac:dyDescent="0.35">
      <c r="A2118" t="s">
        <v>23</v>
      </c>
      <c r="B2118" t="s">
        <v>3400</v>
      </c>
      <c r="C2118" t="str">
        <f t="shared" si="33"/>
        <v xml:space="preserve">Peer ForumAttend EITL Spring Peer Forum </v>
      </c>
    </row>
    <row r="2119" spans="1:5" x14ac:dyDescent="0.35">
      <c r="A2119" t="s">
        <v>23</v>
      </c>
      <c r="B2119" t="s">
        <v>3118</v>
      </c>
      <c r="C2119" t="str">
        <f t="shared" si="33"/>
        <v>Peer ForumAttend EITL Fall Peer Forum</v>
      </c>
    </row>
    <row r="2120" spans="1:5" x14ac:dyDescent="0.35">
      <c r="A2120" t="s">
        <v>23</v>
      </c>
      <c r="B2120" t="s">
        <v>3137</v>
      </c>
      <c r="C2120" t="str">
        <f t="shared" si="33"/>
        <v>Peer ForumAttend EITL Spring Peer Forum</v>
      </c>
    </row>
    <row r="2121" spans="1:5" x14ac:dyDescent="0.35">
      <c r="A2121" t="s">
        <v>23</v>
      </c>
      <c r="B2121" t="s">
        <v>3118</v>
      </c>
      <c r="C2121" t="str">
        <f t="shared" si="33"/>
        <v>Peer ForumAttend EITL Fall Peer Forum</v>
      </c>
    </row>
    <row r="2122" spans="1:5" x14ac:dyDescent="0.35">
      <c r="A2122" t="s">
        <v>23</v>
      </c>
      <c r="B2122" t="s">
        <v>3137</v>
      </c>
      <c r="C2122" t="str">
        <f t="shared" si="33"/>
        <v>Peer ForumAttend EITL Spring Peer Forum</v>
      </c>
    </row>
    <row r="2123" spans="1:5" x14ac:dyDescent="0.35">
      <c r="A2123" t="s">
        <v>23</v>
      </c>
      <c r="B2123" t="s">
        <v>3118</v>
      </c>
      <c r="C2123" t="str">
        <f t="shared" si="33"/>
        <v>Peer ForumAttend EITL Fall Peer Forum</v>
      </c>
    </row>
    <row r="2124" spans="1:5" x14ac:dyDescent="0.35">
      <c r="A2124" t="s">
        <v>23</v>
      </c>
      <c r="B2124" t="s">
        <v>3507</v>
      </c>
      <c r="C2124" t="str">
        <f t="shared" si="33"/>
        <v>Peer ForumAttend Spring Peer Forum</v>
      </c>
    </row>
    <row r="2125" spans="1:5" x14ac:dyDescent="0.35">
      <c r="A2125" t="s">
        <v>23</v>
      </c>
      <c r="B2125" t="s">
        <v>3527</v>
      </c>
      <c r="C2125" t="str">
        <f t="shared" si="33"/>
        <v xml:space="preserve">Peer ForumAttend Gartner EITL Fall Peer Forum 2018
</v>
      </c>
    </row>
    <row r="2126" spans="1:5" x14ac:dyDescent="0.35">
      <c r="A2126" t="s">
        <v>23</v>
      </c>
      <c r="B2126" t="s">
        <v>3543</v>
      </c>
      <c r="C2126" t="str">
        <f t="shared" si="33"/>
        <v xml:space="preserve">Peer ForumAttend Gartner EITL Spring Peer Forum 2019
</v>
      </c>
    </row>
    <row r="2127" spans="1:5" x14ac:dyDescent="0.35">
      <c r="A2127" t="s">
        <v>23</v>
      </c>
      <c r="B2127" t="s">
        <v>3560</v>
      </c>
      <c r="C2127" t="str">
        <f t="shared" si="33"/>
        <v>Peer ForumAttend Gartner EITL Fall Peer Forum 2018 and discuss with peers who have already implemented a comprehensive cloud security program</v>
      </c>
    </row>
    <row r="2128" spans="1:5" x14ac:dyDescent="0.35">
      <c r="A2128" t="s">
        <v>23</v>
      </c>
      <c r="B2128" t="s">
        <v>3580</v>
      </c>
      <c r="C2128" t="str">
        <f t="shared" si="33"/>
        <v>Peer ForumAttend Gartner EITL Spring Peer Forum 2019 and discuss best practices in cloud security</v>
      </c>
    </row>
    <row r="2129" spans="1:5" x14ac:dyDescent="0.35">
      <c r="A2129" t="s">
        <v>23</v>
      </c>
      <c r="B2129" t="s">
        <v>3527</v>
      </c>
      <c r="C2129" t="str">
        <f t="shared" si="33"/>
        <v xml:space="preserve">Peer ForumAttend Gartner EITL Fall Peer Forum 2018
</v>
      </c>
    </row>
    <row r="2130" spans="1:5" x14ac:dyDescent="0.35">
      <c r="A2130" t="s">
        <v>23</v>
      </c>
      <c r="B2130" t="s">
        <v>3400</v>
      </c>
      <c r="C2130" t="str">
        <f t="shared" si="33"/>
        <v xml:space="preserve">Peer ForumAttend EITL Spring Peer Forum </v>
      </c>
    </row>
    <row r="2131" spans="1:5" x14ac:dyDescent="0.35">
      <c r="A2131" t="s">
        <v>23</v>
      </c>
      <c r="B2131" t="s">
        <v>3658</v>
      </c>
      <c r="C2131" t="str">
        <f t="shared" si="33"/>
        <v>Peer ForumAttend Gartner EITL Fall Peer Forum 2018 and discuss elements of a security awareness program</v>
      </c>
    </row>
    <row r="2132" spans="1:5" x14ac:dyDescent="0.35">
      <c r="A2132" t="s">
        <v>23</v>
      </c>
      <c r="B2132" t="s">
        <v>3692</v>
      </c>
      <c r="C2132" t="str">
        <f t="shared" si="33"/>
        <v>Peer ForumAttend Gartner EITL Spring Peer Forum 2019 and talk to your peers on best practices for maturing security awareness</v>
      </c>
    </row>
    <row r="2133" spans="1:5" x14ac:dyDescent="0.35">
      <c r="A2133" t="s">
        <v>23</v>
      </c>
      <c r="B2133" t="s">
        <v>3715</v>
      </c>
      <c r="C2133" t="str">
        <f t="shared" si="33"/>
        <v xml:space="preserve">Peer ForumAttend Gartner EITL Fall Peer Forum. </v>
      </c>
    </row>
    <row r="2134" spans="1:5" x14ac:dyDescent="0.35">
      <c r="A2134" t="s">
        <v>23</v>
      </c>
      <c r="B2134" t="s">
        <v>3728</v>
      </c>
      <c r="C2134" t="str">
        <f t="shared" si="33"/>
        <v>Peer ForumAttend Gartner EITL Spring Peer Forum. Connect with peer member on understanding the key metrics for Information Management</v>
      </c>
      <c r="D2134" t="s">
        <v>3729</v>
      </c>
      <c r="E2134" t="s">
        <v>3730</v>
      </c>
    </row>
    <row r="2135" spans="1:5" x14ac:dyDescent="0.35">
      <c r="A2135" t="s">
        <v>23</v>
      </c>
      <c r="B2135" t="s">
        <v>3752</v>
      </c>
      <c r="C2135" t="str">
        <f t="shared" si="33"/>
        <v>Peer ForumAttend Gartner EITL Fall Peer Forum 2018 and discuss key elements of PAM</v>
      </c>
    </row>
    <row r="2136" spans="1:5" x14ac:dyDescent="0.35">
      <c r="A2136" t="s">
        <v>23</v>
      </c>
      <c r="B2136" t="s">
        <v>3768</v>
      </c>
      <c r="C2136" t="str">
        <f t="shared" si="33"/>
        <v>Peer ForumAttend Gartner EITL Spring Peer Forum 2019 and talk to your peers on best practices</v>
      </c>
    </row>
    <row r="2137" spans="1:5" x14ac:dyDescent="0.35">
      <c r="A2137" t="s">
        <v>23</v>
      </c>
      <c r="B2137" t="s">
        <v>3789</v>
      </c>
      <c r="C2137" t="str">
        <f t="shared" si="33"/>
        <v xml:space="preserve">Peer ForumAttend Fall Peer Forum. Connect with a peer member regarding </v>
      </c>
      <c r="D2137" t="s">
        <v>3790</v>
      </c>
      <c r="E2137" t="s">
        <v>3791</v>
      </c>
    </row>
    <row r="2138" spans="1:5" x14ac:dyDescent="0.35">
      <c r="A2138" t="s">
        <v>23</v>
      </c>
      <c r="B2138" t="s">
        <v>3806</v>
      </c>
      <c r="C2138" t="str">
        <f t="shared" si="33"/>
        <v>Peer ForumAttend EITL Spring Peer Forum 2019</v>
      </c>
    </row>
    <row r="2139" spans="1:5" x14ac:dyDescent="0.35">
      <c r="A2139" t="s">
        <v>23</v>
      </c>
      <c r="B2139" t="s">
        <v>3940</v>
      </c>
      <c r="C2139" t="str">
        <f t="shared" si="33"/>
        <v>Peer ForumAttend Peer Forum 2018 | 14-16 November | San Diego, CA</v>
      </c>
    </row>
    <row r="2140" spans="1:5" x14ac:dyDescent="0.35">
      <c r="A2140" t="s">
        <v>23</v>
      </c>
      <c r="B2140" t="s">
        <v>4008</v>
      </c>
      <c r="C2140" t="str">
        <f t="shared" si="33"/>
        <v>Peer ForumAttend EITL Fall Peer Forum. Connect with a peer member regarding</v>
      </c>
      <c r="D2140" t="s">
        <v>4009</v>
      </c>
      <c r="E2140" t="s">
        <v>4010</v>
      </c>
    </row>
    <row r="2141" spans="1:5" x14ac:dyDescent="0.35">
      <c r="A2141" t="s">
        <v>23</v>
      </c>
      <c r="B2141" t="s">
        <v>4026</v>
      </c>
      <c r="C2141" t="str">
        <f t="shared" si="33"/>
        <v xml:space="preserve">Peer ForumAttend Gartner EITL Spring Peer Forum 2019. Connect with a peer member regarding </v>
      </c>
      <c r="D2141" t="s">
        <v>4027</v>
      </c>
      <c r="E2141" t="s">
        <v>4028</v>
      </c>
    </row>
    <row r="2142" spans="1:5" x14ac:dyDescent="0.35">
      <c r="A2142" t="s">
        <v>23</v>
      </c>
      <c r="B2142" t="s">
        <v>4080</v>
      </c>
      <c r="C2142" t="str">
        <f t="shared" si="33"/>
        <v xml:space="preserve">Peer ForumAttend EITL Fall Peer Forum. Collaborate with a peer member regarding </v>
      </c>
      <c r="D2142" t="s">
        <v>4081</v>
      </c>
      <c r="E2142" t="s">
        <v>4082</v>
      </c>
    </row>
    <row r="2143" spans="1:5" x14ac:dyDescent="0.35">
      <c r="A2143" t="s">
        <v>23</v>
      </c>
      <c r="B2143" t="s">
        <v>4092</v>
      </c>
      <c r="C2143" t="str">
        <f t="shared" si="33"/>
        <v xml:space="preserve">Peer ForumAttend EITL Spring Peer Forum. Meet with a peer member regarding </v>
      </c>
      <c r="D2143" t="s">
        <v>4093</v>
      </c>
      <c r="E2143" t="s">
        <v>4094</v>
      </c>
    </row>
    <row r="2144" spans="1:5" x14ac:dyDescent="0.35">
      <c r="A2144" t="s">
        <v>23</v>
      </c>
      <c r="B2144" t="s">
        <v>4095</v>
      </c>
      <c r="C2144" t="str">
        <f t="shared" si="33"/>
        <v>Peer ForumAttend EITL Spring Peer forum 2019</v>
      </c>
    </row>
    <row r="2145" spans="1:3" x14ac:dyDescent="0.35">
      <c r="A2145" t="s">
        <v>22</v>
      </c>
      <c r="B2145" t="s">
        <v>3049</v>
      </c>
      <c r="C2145" t="str">
        <f t="shared" si="33"/>
        <v>Special Interest GroupsAttend CISO Huddle and discuss with specialists in network security</v>
      </c>
    </row>
    <row r="2146" spans="1:3" x14ac:dyDescent="0.35">
      <c r="A2146" t="s">
        <v>22</v>
      </c>
      <c r="B2146" t="s">
        <v>3110</v>
      </c>
      <c r="C2146" t="str">
        <f t="shared" si="33"/>
        <v>Special Interest GroupsAttend monthly I&amp;O SIG</v>
      </c>
    </row>
    <row r="2147" spans="1:3" x14ac:dyDescent="0.35">
      <c r="A2147" t="s">
        <v>22</v>
      </c>
      <c r="B2147" t="s">
        <v>3110</v>
      </c>
      <c r="C2147" t="str">
        <f t="shared" si="33"/>
        <v>Special Interest GroupsAttend monthly I&amp;O SIG</v>
      </c>
    </row>
    <row r="2148" spans="1:3" x14ac:dyDescent="0.35">
      <c r="A2148" t="s">
        <v>22</v>
      </c>
      <c r="B2148" t="s">
        <v>3211</v>
      </c>
      <c r="C2148" t="str">
        <f t="shared" si="33"/>
        <v xml:space="preserve">Special Interest GroupsAttend monthly I&amp;O SIG </v>
      </c>
    </row>
    <row r="2149" spans="1:3" x14ac:dyDescent="0.35">
      <c r="A2149" t="s">
        <v>22</v>
      </c>
      <c r="B2149" t="s">
        <v>3110</v>
      </c>
      <c r="C2149" t="str">
        <f t="shared" si="33"/>
        <v>Special Interest GroupsAttend monthly I&amp;O SIG</v>
      </c>
    </row>
    <row r="2150" spans="1:3" x14ac:dyDescent="0.35">
      <c r="A2150" t="s">
        <v>22</v>
      </c>
      <c r="B2150" t="s">
        <v>3110</v>
      </c>
      <c r="C2150" t="str">
        <f t="shared" si="33"/>
        <v>Special Interest GroupsAttend monthly I&amp;O SIG</v>
      </c>
    </row>
    <row r="2151" spans="1:3" x14ac:dyDescent="0.35">
      <c r="A2151" t="s">
        <v>22</v>
      </c>
      <c r="B2151" t="s">
        <v>3324</v>
      </c>
      <c r="C2151" t="str">
        <f t="shared" si="33"/>
        <v>Special Interest GroupsAttend the AI Special Interest Group</v>
      </c>
    </row>
    <row r="2152" spans="1:3" x14ac:dyDescent="0.35">
      <c r="A2152" t="s">
        <v>22</v>
      </c>
      <c r="B2152" t="s">
        <v>3110</v>
      </c>
      <c r="C2152" t="str">
        <f t="shared" si="33"/>
        <v>Special Interest GroupsAttend monthly I&amp;O SIG</v>
      </c>
    </row>
    <row r="2153" spans="1:3" x14ac:dyDescent="0.35">
      <c r="A2153" t="s">
        <v>22</v>
      </c>
      <c r="B2153" t="s">
        <v>3374</v>
      </c>
      <c r="C2153" t="str">
        <f t="shared" si="33"/>
        <v xml:space="preserve">Special Interest GroupsAttend SIG DNA Leader Huddle </v>
      </c>
    </row>
    <row r="2154" spans="1:3" x14ac:dyDescent="0.35">
      <c r="A2154" t="s">
        <v>22</v>
      </c>
      <c r="B2154" t="s">
        <v>3387</v>
      </c>
      <c r="C2154" t="str">
        <f t="shared" si="33"/>
        <v>Special Interest GroupsAttend Monthly Apps SIG</v>
      </c>
    </row>
    <row r="2155" spans="1:3" x14ac:dyDescent="0.35">
      <c r="A2155" t="s">
        <v>22</v>
      </c>
      <c r="B2155" t="s">
        <v>3110</v>
      </c>
      <c r="C2155" t="str">
        <f t="shared" si="33"/>
        <v>Special Interest GroupsAttend monthly I&amp;O SIG</v>
      </c>
    </row>
    <row r="2156" spans="1:3" x14ac:dyDescent="0.35">
      <c r="A2156" t="s">
        <v>22</v>
      </c>
      <c r="B2156" t="s">
        <v>3110</v>
      </c>
      <c r="C2156" t="str">
        <f t="shared" si="33"/>
        <v>Special Interest GroupsAttend monthly I&amp;O SIG</v>
      </c>
    </row>
    <row r="2157" spans="1:3" x14ac:dyDescent="0.35">
      <c r="A2157" t="s">
        <v>22</v>
      </c>
      <c r="B2157" t="s">
        <v>3110</v>
      </c>
      <c r="C2157" t="str">
        <f t="shared" si="33"/>
        <v>Special Interest GroupsAttend monthly I&amp;O SIG</v>
      </c>
    </row>
    <row r="2158" spans="1:3" x14ac:dyDescent="0.35">
      <c r="A2158" t="s">
        <v>22</v>
      </c>
      <c r="B2158" t="s">
        <v>3533</v>
      </c>
      <c r="C2158" t="str">
        <f t="shared" si="33"/>
        <v>Special Interest GroupsAttend SIG as per Calendar</v>
      </c>
    </row>
    <row r="2159" spans="1:3" x14ac:dyDescent="0.35">
      <c r="A2159" t="s">
        <v>22</v>
      </c>
      <c r="B2159" t="s">
        <v>3570</v>
      </c>
      <c r="C2159" t="str">
        <f t="shared" si="33"/>
        <v>Special Interest GroupsAttend CISO Huddle and discuss with specialists in cloud security</v>
      </c>
    </row>
    <row r="2160" spans="1:3" x14ac:dyDescent="0.35">
      <c r="A2160" t="s">
        <v>22</v>
      </c>
      <c r="B2160" t="s">
        <v>3387</v>
      </c>
      <c r="C2160" t="str">
        <f t="shared" si="33"/>
        <v>Special Interest GroupsAttend Monthly Apps SIG</v>
      </c>
    </row>
    <row r="2161" spans="1:3" x14ac:dyDescent="0.35">
      <c r="A2161" t="s">
        <v>22</v>
      </c>
      <c r="B2161" t="s">
        <v>3682</v>
      </c>
      <c r="C2161" t="str">
        <f t="shared" si="33"/>
        <v>Special Interest GroupsAttend CISO Huddle and discuss with specialists on security awareness</v>
      </c>
    </row>
    <row r="2162" spans="1:3" x14ac:dyDescent="0.35">
      <c r="A2162" t="s">
        <v>22</v>
      </c>
      <c r="B2162" t="s">
        <v>3707</v>
      </c>
      <c r="C2162" t="str">
        <f t="shared" si="33"/>
        <v xml:space="preserve">Special Interest GroupsAttend SIG : DNA Leaders Huddle </v>
      </c>
    </row>
    <row r="2163" spans="1:3" x14ac:dyDescent="0.35">
      <c r="A2163" t="s">
        <v>22</v>
      </c>
      <c r="B2163" t="s">
        <v>3764</v>
      </c>
      <c r="C2163" t="str">
        <f t="shared" si="33"/>
        <v>Special Interest GroupsAttend CISO Huddle and discuss with specialists on PAM</v>
      </c>
    </row>
    <row r="2164" spans="1:3" x14ac:dyDescent="0.35">
      <c r="A2164" t="s">
        <v>22</v>
      </c>
      <c r="B2164" t="s">
        <v>3787</v>
      </c>
      <c r="C2164" t="str">
        <f t="shared" si="33"/>
        <v>Special Interest GroupsAttend SIG : DNA Leader Huddle</v>
      </c>
    </row>
    <row r="2165" spans="1:3" x14ac:dyDescent="0.35">
      <c r="A2165" t="s">
        <v>22</v>
      </c>
      <c r="B2165" t="s">
        <v>4003</v>
      </c>
      <c r="C2165" t="str">
        <f t="shared" si="33"/>
        <v>Special Interest GroupsAttend SIG : DNA Leaders Huddle</v>
      </c>
    </row>
    <row r="2166" spans="1:3" x14ac:dyDescent="0.35">
      <c r="A2166" t="s">
        <v>22</v>
      </c>
      <c r="B2166" t="s">
        <v>3707</v>
      </c>
      <c r="C2166" t="str">
        <f t="shared" si="33"/>
        <v xml:space="preserve">Special Interest GroupsAttend SIG : DNA Leaders Huddle </v>
      </c>
    </row>
    <row r="2167" spans="1:3" x14ac:dyDescent="0.35">
      <c r="A2167" t="s">
        <v>24</v>
      </c>
      <c r="B2167" t="s">
        <v>3059</v>
      </c>
      <c r="C2167" t="str">
        <f t="shared" si="33"/>
        <v>SummitAttend Gartner Security &amp; Risk Management Summit 2019 and meet with Analysts, Vendors, and Peers who specialize in network security</v>
      </c>
    </row>
    <row r="2168" spans="1:3" x14ac:dyDescent="0.35">
      <c r="A2168" t="s">
        <v>24</v>
      </c>
      <c r="B2168" t="s">
        <v>3121</v>
      </c>
      <c r="C2168" t="str">
        <f t="shared" si="33"/>
        <v xml:space="preserve">SummitAttend Gartner IT Infrastructure, Operations &amp; Cloud Strategies Conference </v>
      </c>
    </row>
    <row r="2169" spans="1:3" x14ac:dyDescent="0.35">
      <c r="A2169" t="s">
        <v>24</v>
      </c>
      <c r="B2169" t="s">
        <v>3170</v>
      </c>
      <c r="C2169" t="str">
        <f t="shared" si="33"/>
        <v>SummitAttend Gartner IT Infrastructure, Operations &amp; Cloud Strategies Conference</v>
      </c>
    </row>
    <row r="2170" spans="1:3" x14ac:dyDescent="0.35">
      <c r="A2170" t="s">
        <v>24</v>
      </c>
      <c r="B2170" t="s">
        <v>3121</v>
      </c>
      <c r="C2170" t="str">
        <f t="shared" si="33"/>
        <v xml:space="preserve">SummitAttend Gartner IT Infrastructure, Operations &amp; Cloud Strategies Conference </v>
      </c>
    </row>
    <row r="2171" spans="1:3" x14ac:dyDescent="0.35">
      <c r="A2171" t="s">
        <v>24</v>
      </c>
      <c r="B2171" t="s">
        <v>3226</v>
      </c>
      <c r="C2171" t="str">
        <f t="shared" si="33"/>
        <v xml:space="preserve">SummitAttend EITL Gartner IT Infrastructure, Operations &amp; Cloud Strategies Conference in Las Vegas (3rd to 6th December)
</v>
      </c>
    </row>
    <row r="2172" spans="1:3" x14ac:dyDescent="0.35">
      <c r="A2172" t="s">
        <v>24</v>
      </c>
      <c r="B2172" t="s">
        <v>3267</v>
      </c>
      <c r="C2172" t="str">
        <f t="shared" si="33"/>
        <v xml:space="preserve">SummitAttend Gartner IT Sourcing, Procurement, Vendor &amp; Asset Management Summit </v>
      </c>
    </row>
    <row r="2173" spans="1:3" x14ac:dyDescent="0.35">
      <c r="A2173" t="s">
        <v>24</v>
      </c>
      <c r="B2173" t="s">
        <v>3170</v>
      </c>
      <c r="C2173" t="str">
        <f t="shared" si="33"/>
        <v>SummitAttend Gartner IT Infrastructure, Operations &amp; Cloud Strategies Conference</v>
      </c>
    </row>
    <row r="2174" spans="1:3" x14ac:dyDescent="0.35">
      <c r="A2174" t="s">
        <v>24</v>
      </c>
      <c r="B2174" t="s">
        <v>3304</v>
      </c>
      <c r="C2174" t="str">
        <f t="shared" si="33"/>
        <v>SummitAttend Gartner IT Infrastructure, Operations Management &amp; Data Center Summit in Las Vegas between 26-27 November 2018</v>
      </c>
    </row>
    <row r="2175" spans="1:3" x14ac:dyDescent="0.35">
      <c r="A2175" t="s">
        <v>24</v>
      </c>
      <c r="B2175" t="s">
        <v>3121</v>
      </c>
      <c r="C2175" t="str">
        <f t="shared" si="33"/>
        <v xml:space="preserve">SummitAttend Gartner IT Infrastructure, Operations &amp; Cloud Strategies Conference </v>
      </c>
    </row>
    <row r="2176" spans="1:3" x14ac:dyDescent="0.35">
      <c r="A2176" t="s">
        <v>24</v>
      </c>
      <c r="B2176" t="s">
        <v>3372</v>
      </c>
      <c r="C2176" t="str">
        <f t="shared" si="33"/>
        <v>SummitAttend Gartner Application Strategies &amp; Solutions Summit</v>
      </c>
    </row>
    <row r="2177" spans="1:3" x14ac:dyDescent="0.35">
      <c r="A2177" t="s">
        <v>24</v>
      </c>
      <c r="B2177" t="s">
        <v>3121</v>
      </c>
      <c r="C2177" t="str">
        <f t="shared" si="33"/>
        <v xml:space="preserve">SummitAttend Gartner IT Infrastructure, Operations &amp; Cloud Strategies Conference </v>
      </c>
    </row>
    <row r="2178" spans="1:3" x14ac:dyDescent="0.35">
      <c r="A2178" t="s">
        <v>24</v>
      </c>
      <c r="B2178" t="s">
        <v>3121</v>
      </c>
      <c r="C2178" t="str">
        <f t="shared" si="33"/>
        <v xml:space="preserve">SummitAttend Gartner IT Infrastructure, Operations &amp; Cloud Strategies Conference </v>
      </c>
    </row>
    <row r="2179" spans="1:3" x14ac:dyDescent="0.35">
      <c r="A2179" t="s">
        <v>24</v>
      </c>
      <c r="B2179" t="s">
        <v>3170</v>
      </c>
      <c r="C2179" t="str">
        <f t="shared" ref="C2179:C2242" si="34">CONCATENATE(A2179,B2179)</f>
        <v>SummitAttend Gartner IT Infrastructure, Operations &amp; Cloud Strategies Conference</v>
      </c>
    </row>
    <row r="2180" spans="1:3" x14ac:dyDescent="0.35">
      <c r="A2180" t="s">
        <v>24</v>
      </c>
      <c r="B2180" t="s">
        <v>3526</v>
      </c>
      <c r="C2180" t="str">
        <f t="shared" si="34"/>
        <v xml:space="preserve">SummitAttend Gartner Application Strategies &amp; Solutions Summit
</v>
      </c>
    </row>
    <row r="2181" spans="1:3" x14ac:dyDescent="0.35">
      <c r="A2181" t="s">
        <v>24</v>
      </c>
      <c r="B2181" t="s">
        <v>3595</v>
      </c>
      <c r="C2181" t="str">
        <f t="shared" si="34"/>
        <v xml:space="preserve">SummitAttend Gartner Security &amp; Risk Management Summit 2019 and meet with Analysts, Vendors, and Peers who specialize in cloud security
</v>
      </c>
    </row>
    <row r="2182" spans="1:3" x14ac:dyDescent="0.35">
      <c r="A2182" t="s">
        <v>24</v>
      </c>
      <c r="B2182" t="s">
        <v>3608</v>
      </c>
      <c r="C2182" t="str">
        <f t="shared" si="34"/>
        <v xml:space="preserve">SummitAttend Gartner Application Strategies &amp; Solutions Summit 2018
</v>
      </c>
    </row>
    <row r="2183" spans="1:3" x14ac:dyDescent="0.35">
      <c r="A2183" t="s">
        <v>24</v>
      </c>
      <c r="B2183" t="s">
        <v>3694</v>
      </c>
      <c r="C2183" t="str">
        <f t="shared" si="34"/>
        <v>SummitAttend Gartner Security &amp; Risk Management Summit 2019 and meet with Analysts, Vendors, and Peers with to refresh your outlook towards security</v>
      </c>
    </row>
    <row r="2184" spans="1:3" x14ac:dyDescent="0.35">
      <c r="A2184" t="s">
        <v>24</v>
      </c>
      <c r="B2184" t="s">
        <v>3723</v>
      </c>
      <c r="C2184" t="str">
        <f t="shared" si="34"/>
        <v xml:space="preserve">SummitAttend Gartner Data and Analytics Summit </v>
      </c>
    </row>
    <row r="2185" spans="1:3" x14ac:dyDescent="0.35">
      <c r="A2185" t="s">
        <v>24</v>
      </c>
      <c r="B2185" t="s">
        <v>3775</v>
      </c>
      <c r="C2185" t="str">
        <f t="shared" si="34"/>
        <v>SummitAttend Gartner Security &amp; Risk Management Summit 2019 and meet with Analysts, Vendors, and Peers who specialize in PAM</v>
      </c>
    </row>
    <row r="2186" spans="1:3" x14ac:dyDescent="0.35">
      <c r="A2186" t="s">
        <v>24</v>
      </c>
      <c r="B2186" t="s">
        <v>3803</v>
      </c>
      <c r="C2186" t="str">
        <f t="shared" si="34"/>
        <v xml:space="preserve">SummitAttend Data and Analytics Summit </v>
      </c>
    </row>
    <row r="2187" spans="1:3" x14ac:dyDescent="0.35">
      <c r="A2187" t="s">
        <v>24</v>
      </c>
      <c r="B2187" t="s">
        <v>3814</v>
      </c>
      <c r="C2187" t="str">
        <f t="shared" si="34"/>
        <v xml:space="preserve">SummitAttend Gartner Data and Analytics Summit in Orlando, 18-21 March
</v>
      </c>
    </row>
    <row r="2188" spans="1:3" x14ac:dyDescent="0.35">
      <c r="A2188" t="s">
        <v>24</v>
      </c>
      <c r="B2188" t="s">
        <v>3930</v>
      </c>
      <c r="C2188" t="str">
        <f t="shared" si="34"/>
        <v>SummitAttend Gartner Enterprise Architecture &amp; Technology Innovation Summit 2018 | 11-12 June | National Harbor, MD</v>
      </c>
    </row>
    <row r="2189" spans="1:3" x14ac:dyDescent="0.35">
      <c r="A2189" t="s">
        <v>24</v>
      </c>
      <c r="B2189" t="s">
        <v>4021</v>
      </c>
      <c r="C2189" t="str">
        <f t="shared" si="34"/>
        <v xml:space="preserve">SummitAttend Gartner Data and Analytics Summit 
</v>
      </c>
    </row>
    <row r="2190" spans="1:3" x14ac:dyDescent="0.35">
      <c r="A2190" t="s">
        <v>24</v>
      </c>
      <c r="B2190" t="s">
        <v>3803</v>
      </c>
      <c r="C2190" t="str">
        <f t="shared" si="34"/>
        <v xml:space="preserve">SummitAttend Data and Analytics Summit </v>
      </c>
    </row>
    <row r="2191" spans="1:3" x14ac:dyDescent="0.35">
      <c r="A2191" t="s">
        <v>24</v>
      </c>
      <c r="B2191" t="s">
        <v>3814</v>
      </c>
      <c r="C2191" t="str">
        <f t="shared" si="34"/>
        <v xml:space="preserve">SummitAttend Gartner Data and Analytics Summit in Orlando, 18-21 March
</v>
      </c>
    </row>
    <row r="2192" spans="1:3" x14ac:dyDescent="0.35">
      <c r="A2192" t="s">
        <v>17</v>
      </c>
      <c r="B2192" t="s">
        <v>888</v>
      </c>
      <c r="C2192" t="str">
        <f t="shared" si="34"/>
        <v>SymposiumGain new insights from analyst presentations, network with industry peers, visit vendor ITXpo.</v>
      </c>
    </row>
    <row r="2193" spans="1:3" x14ac:dyDescent="0.35">
      <c r="A2193" t="s">
        <v>17</v>
      </c>
      <c r="B2193" t="s">
        <v>1611</v>
      </c>
      <c r="C2193" t="str">
        <f t="shared" si="34"/>
        <v>SymposiumAttend Symposium IAM oriented sessions and meet-ups. Plan a 1-on-1 with an analyst.</v>
      </c>
    </row>
    <row r="2194" spans="1:3" x14ac:dyDescent="0.35">
      <c r="A2194" t="s">
        <v>17</v>
      </c>
      <c r="B2194" t="s">
        <v>1689</v>
      </c>
      <c r="C2194" t="str">
        <f t="shared" si="34"/>
        <v xml:space="preserve">SymposiumAttend technology sessions and 1.1. </v>
      </c>
    </row>
    <row r="2195" spans="1:3" x14ac:dyDescent="0.35">
      <c r="A2195" t="s">
        <v>17</v>
      </c>
      <c r="B2195" t="s">
        <v>2284</v>
      </c>
      <c r="C2195" t="str">
        <f t="shared" si="34"/>
        <v xml:space="preserve">SymposiumGain new insights on best practice in BPO practice from analyst presentations, industry peers, vendor ITXpo.
</v>
      </c>
    </row>
    <row r="2196" spans="1:3" x14ac:dyDescent="0.35">
      <c r="A2196" t="s">
        <v>17</v>
      </c>
      <c r="B2196" t="s">
        <v>2342</v>
      </c>
      <c r="C2196" t="str">
        <f t="shared" si="34"/>
        <v xml:space="preserve">SymposiumRegister to attend Symposium and participate in workshops, round tables and analyst 1:1 sessions relevant to your specific needs.
</v>
      </c>
    </row>
    <row r="2197" spans="1:3" x14ac:dyDescent="0.35">
      <c r="A2197" t="s">
        <v>17</v>
      </c>
      <c r="B2197" t="s">
        <v>3114</v>
      </c>
      <c r="C2197" t="str">
        <f t="shared" si="34"/>
        <v>SymposiumAttend Gartner Symposium/ITxpo</v>
      </c>
    </row>
    <row r="2198" spans="1:3" x14ac:dyDescent="0.35">
      <c r="A2198" t="s">
        <v>17</v>
      </c>
      <c r="B2198" t="s">
        <v>3163</v>
      </c>
      <c r="C2198" t="str">
        <f t="shared" si="34"/>
        <v>SymposiumAttend Gartner Symposium/ ITxpo to redefine strategies</v>
      </c>
    </row>
    <row r="2199" spans="1:3" x14ac:dyDescent="0.35">
      <c r="A2199" t="s">
        <v>17</v>
      </c>
      <c r="B2199" t="s">
        <v>3114</v>
      </c>
      <c r="C2199" t="str">
        <f t="shared" si="34"/>
        <v>SymposiumAttend Gartner Symposium/ITxpo</v>
      </c>
    </row>
    <row r="2200" spans="1:3" x14ac:dyDescent="0.35">
      <c r="A2200" t="s">
        <v>17</v>
      </c>
      <c r="B2200" t="s">
        <v>3114</v>
      </c>
      <c r="C2200" t="str">
        <f t="shared" si="34"/>
        <v>SymposiumAttend Gartner Symposium/ITxpo</v>
      </c>
    </row>
    <row r="2201" spans="1:3" x14ac:dyDescent="0.35">
      <c r="A2201" t="s">
        <v>17</v>
      </c>
      <c r="B2201" t="s">
        <v>3114</v>
      </c>
      <c r="C2201" t="str">
        <f t="shared" si="34"/>
        <v>SymposiumAttend Gartner Symposium/ITxpo</v>
      </c>
    </row>
    <row r="2202" spans="1:3" x14ac:dyDescent="0.35">
      <c r="A2202" t="s">
        <v>17</v>
      </c>
      <c r="B2202" t="s">
        <v>3114</v>
      </c>
      <c r="C2202" t="str">
        <f t="shared" si="34"/>
        <v>SymposiumAttend Gartner Symposium/ITxpo</v>
      </c>
    </row>
    <row r="2203" spans="1:3" x14ac:dyDescent="0.35">
      <c r="A2203" t="s">
        <v>17</v>
      </c>
      <c r="B2203" t="s">
        <v>3114</v>
      </c>
      <c r="C2203" t="str">
        <f t="shared" si="34"/>
        <v>SymposiumAttend Gartner Symposium/ITxpo</v>
      </c>
    </row>
    <row r="2204" spans="1:3" x14ac:dyDescent="0.35">
      <c r="A2204" t="s">
        <v>17</v>
      </c>
      <c r="B2204" t="s">
        <v>3936</v>
      </c>
      <c r="C2204" t="str">
        <f t="shared" si="34"/>
        <v>SymposiumAttend Gartner Symposium / ITXPO 2018 | 14-18 October | Orlando, FL</v>
      </c>
    </row>
    <row r="2205" spans="1:3" x14ac:dyDescent="0.35">
      <c r="A2205" t="s">
        <v>15</v>
      </c>
      <c r="B2205" t="s">
        <v>412</v>
      </c>
      <c r="C2205" t="str">
        <f t="shared" si="34"/>
        <v>To be determinedtest</v>
      </c>
    </row>
    <row r="2206" spans="1:3" x14ac:dyDescent="0.35">
      <c r="A2206" t="s">
        <v>15</v>
      </c>
      <c r="B2206" t="s">
        <v>3054</v>
      </c>
      <c r="C2206" t="str">
        <f t="shared" si="34"/>
        <v>To be determinedOutcomes: Clear strategy and model identified with commensurate requirements to meet business and technological goals</v>
      </c>
    </row>
    <row r="2207" spans="1:3" x14ac:dyDescent="0.35">
      <c r="A2207" t="s">
        <v>15</v>
      </c>
      <c r="B2207" t="s">
        <v>3067</v>
      </c>
      <c r="C2207" t="str">
        <f t="shared" si="34"/>
        <v>To be determinedOUTCOMES – Solid strategy, approach and design to network and gateway security built by a cross functional team</v>
      </c>
    </row>
    <row r="2208" spans="1:3" x14ac:dyDescent="0.35">
      <c r="A2208" t="s">
        <v>15</v>
      </c>
      <c r="B2208" t="s">
        <v>3081</v>
      </c>
      <c r="C2208" t="str">
        <f t="shared" si="34"/>
        <v>To be determinedOUTCOMES – LP to validate</v>
      </c>
    </row>
    <row r="2209" spans="1:3" x14ac:dyDescent="0.35">
      <c r="A2209" t="s">
        <v>15</v>
      </c>
      <c r="B2209" t="s">
        <v>3091</v>
      </c>
      <c r="C2209" t="str">
        <f t="shared" si="34"/>
        <v>To be determinedOUTCOMES - LP to validate</v>
      </c>
    </row>
    <row r="2210" spans="1:3" x14ac:dyDescent="0.35">
      <c r="A2210" t="s">
        <v>15</v>
      </c>
      <c r="B2210" t="s">
        <v>3081</v>
      </c>
      <c r="C2210" t="str">
        <f t="shared" si="34"/>
        <v>To be determinedOUTCOMES – LP to validate</v>
      </c>
    </row>
    <row r="2211" spans="1:3" x14ac:dyDescent="0.35">
      <c r="A2211" t="s">
        <v>15</v>
      </c>
      <c r="B2211" t="s">
        <v>3091</v>
      </c>
      <c r="C2211" t="str">
        <f t="shared" si="34"/>
        <v>To be determinedOUTCOMES - LP to validate</v>
      </c>
    </row>
    <row r="2212" spans="1:3" x14ac:dyDescent="0.35">
      <c r="A2212" t="s">
        <v>15</v>
      </c>
      <c r="B2212" t="s">
        <v>3091</v>
      </c>
      <c r="C2212" t="str">
        <f t="shared" si="34"/>
        <v>To be determinedOUTCOMES - LP to validate</v>
      </c>
    </row>
    <row r="2213" spans="1:3" x14ac:dyDescent="0.35">
      <c r="A2213" t="s">
        <v>15</v>
      </c>
      <c r="B2213" t="s">
        <v>3120</v>
      </c>
      <c r="C2213" t="str">
        <f t="shared" si="34"/>
        <v xml:space="preserve">To be determinedOutcomes - LP to validate </v>
      </c>
    </row>
    <row r="2214" spans="1:3" x14ac:dyDescent="0.35">
      <c r="A2214" t="s">
        <v>15</v>
      </c>
      <c r="B2214" t="s">
        <v>3120</v>
      </c>
      <c r="C2214" t="str">
        <f t="shared" si="34"/>
        <v xml:space="preserve">To be determinedOutcomes - LP to validate </v>
      </c>
    </row>
    <row r="2215" spans="1:3" x14ac:dyDescent="0.35">
      <c r="A2215" t="s">
        <v>15</v>
      </c>
      <c r="B2215" t="s">
        <v>3143</v>
      </c>
      <c r="C2215" t="str">
        <f t="shared" si="34"/>
        <v>To be determinedOutcomes - LP to validate</v>
      </c>
    </row>
    <row r="2216" spans="1:3" x14ac:dyDescent="0.35">
      <c r="A2216" t="s">
        <v>15</v>
      </c>
      <c r="B2216" t="s">
        <v>3120</v>
      </c>
      <c r="C2216" t="str">
        <f t="shared" si="34"/>
        <v xml:space="preserve">To be determinedOutcomes - LP to validate </v>
      </c>
    </row>
    <row r="2217" spans="1:3" x14ac:dyDescent="0.35">
      <c r="A2217" t="s">
        <v>15</v>
      </c>
      <c r="B2217" t="s">
        <v>3158</v>
      </c>
      <c r="C2217" t="str">
        <f t="shared" si="34"/>
        <v xml:space="preserve">To be determinedLP to validate </v>
      </c>
    </row>
    <row r="2218" spans="1:3" x14ac:dyDescent="0.35">
      <c r="A2218" t="s">
        <v>15</v>
      </c>
      <c r="B2218" t="s">
        <v>3158</v>
      </c>
      <c r="C2218" t="str">
        <f t="shared" si="34"/>
        <v xml:space="preserve">To be determinedLP to validate </v>
      </c>
    </row>
    <row r="2219" spans="1:3" x14ac:dyDescent="0.35">
      <c r="A2219" t="s">
        <v>15</v>
      </c>
      <c r="B2219" t="s">
        <v>3158</v>
      </c>
      <c r="C2219" t="str">
        <f t="shared" si="34"/>
        <v xml:space="preserve">To be determinedLP to validate </v>
      </c>
    </row>
    <row r="2220" spans="1:3" x14ac:dyDescent="0.35">
      <c r="A2220" t="s">
        <v>15</v>
      </c>
      <c r="B2220" t="s">
        <v>3158</v>
      </c>
      <c r="C2220" t="str">
        <f t="shared" si="34"/>
        <v xml:space="preserve">To be determinedLP to validate </v>
      </c>
    </row>
    <row r="2221" spans="1:3" x14ac:dyDescent="0.35">
      <c r="A2221" t="s">
        <v>15</v>
      </c>
      <c r="B2221" t="s">
        <v>3158</v>
      </c>
      <c r="C2221" t="str">
        <f t="shared" si="34"/>
        <v xml:space="preserve">To be determinedLP to validate </v>
      </c>
    </row>
    <row r="2222" spans="1:3" x14ac:dyDescent="0.35">
      <c r="A2222" t="s">
        <v>15</v>
      </c>
      <c r="B2222" t="s">
        <v>3158</v>
      </c>
      <c r="C2222" t="str">
        <f t="shared" si="34"/>
        <v xml:space="preserve">To be determinedLP to validate </v>
      </c>
    </row>
    <row r="2223" spans="1:3" x14ac:dyDescent="0.35">
      <c r="A2223" t="s">
        <v>15</v>
      </c>
      <c r="B2223" t="s">
        <v>3219</v>
      </c>
      <c r="C2223" t="str">
        <f t="shared" si="34"/>
        <v>To be determinedOutcomes - LP to Validate</v>
      </c>
    </row>
    <row r="2224" spans="1:3" x14ac:dyDescent="0.35">
      <c r="A2224" t="s">
        <v>15</v>
      </c>
      <c r="B2224" t="s">
        <v>3120</v>
      </c>
      <c r="C2224" t="str">
        <f t="shared" si="34"/>
        <v xml:space="preserve">To be determinedOutcomes - LP to validate </v>
      </c>
    </row>
    <row r="2225" spans="1:3" x14ac:dyDescent="0.35">
      <c r="A2225" t="s">
        <v>15</v>
      </c>
      <c r="B2225" t="s">
        <v>3120</v>
      </c>
      <c r="C2225" t="str">
        <f t="shared" si="34"/>
        <v xml:space="preserve">To be determinedOutcomes - LP to validate </v>
      </c>
    </row>
    <row r="2226" spans="1:3" x14ac:dyDescent="0.35">
      <c r="A2226" t="s">
        <v>15</v>
      </c>
      <c r="B2226" t="s">
        <v>3120</v>
      </c>
      <c r="C2226" t="str">
        <f t="shared" si="34"/>
        <v xml:space="preserve">To be determinedOutcomes - LP to validate </v>
      </c>
    </row>
    <row r="2227" spans="1:3" x14ac:dyDescent="0.35">
      <c r="A2227" t="s">
        <v>15</v>
      </c>
      <c r="B2227" t="s">
        <v>3120</v>
      </c>
      <c r="C2227" t="str">
        <f t="shared" si="34"/>
        <v xml:space="preserve">To be determinedOutcomes - LP to validate </v>
      </c>
    </row>
    <row r="2228" spans="1:3" x14ac:dyDescent="0.35">
      <c r="A2228" t="s">
        <v>15</v>
      </c>
      <c r="B2228" t="s">
        <v>3261</v>
      </c>
      <c r="C2228" t="str">
        <f t="shared" si="34"/>
        <v>To be determinedOutcomes: &lt;LP to validate&gt;</v>
      </c>
    </row>
    <row r="2229" spans="1:3" x14ac:dyDescent="0.35">
      <c r="A2229" t="s">
        <v>15</v>
      </c>
      <c r="B2229" t="s">
        <v>3261</v>
      </c>
      <c r="C2229" t="str">
        <f t="shared" si="34"/>
        <v>To be determinedOutcomes: &lt;LP to validate&gt;</v>
      </c>
    </row>
    <row r="2230" spans="1:3" x14ac:dyDescent="0.35">
      <c r="A2230" t="s">
        <v>15</v>
      </c>
      <c r="B2230" t="s">
        <v>3279</v>
      </c>
      <c r="C2230" t="str">
        <f t="shared" si="34"/>
        <v xml:space="preserve">To be determinedOutcomes: &lt;LP to validate&gt; </v>
      </c>
    </row>
    <row r="2231" spans="1:3" x14ac:dyDescent="0.35">
      <c r="A2231" t="s">
        <v>15</v>
      </c>
      <c r="B2231" t="s">
        <v>3261</v>
      </c>
      <c r="C2231" t="str">
        <f t="shared" si="34"/>
        <v>To be determinedOutcomes: &lt;LP to validate&gt;</v>
      </c>
    </row>
    <row r="2232" spans="1:3" x14ac:dyDescent="0.35">
      <c r="A2232" t="s">
        <v>15</v>
      </c>
      <c r="B2232" t="s">
        <v>3261</v>
      </c>
      <c r="C2232" t="str">
        <f t="shared" si="34"/>
        <v>To be determinedOutcomes: &lt;LP to validate&gt;</v>
      </c>
    </row>
    <row r="2233" spans="1:3" x14ac:dyDescent="0.35">
      <c r="A2233" t="s">
        <v>15</v>
      </c>
      <c r="B2233" t="s">
        <v>3296</v>
      </c>
      <c r="C2233" t="str">
        <f t="shared" si="34"/>
        <v>To be determinedOutcome: LP to Validate</v>
      </c>
    </row>
    <row r="2234" spans="1:3" x14ac:dyDescent="0.35">
      <c r="A2234" t="s">
        <v>15</v>
      </c>
      <c r="B2234" t="s">
        <v>3296</v>
      </c>
      <c r="C2234" t="str">
        <f t="shared" si="34"/>
        <v>To be determinedOutcome: LP to Validate</v>
      </c>
    </row>
    <row r="2235" spans="1:3" x14ac:dyDescent="0.35">
      <c r="A2235" t="s">
        <v>15</v>
      </c>
      <c r="B2235" t="s">
        <v>3219</v>
      </c>
      <c r="C2235" t="str">
        <f t="shared" si="34"/>
        <v>To be determinedOutcomes - LP to Validate</v>
      </c>
    </row>
    <row r="2236" spans="1:3" x14ac:dyDescent="0.35">
      <c r="A2236" t="s">
        <v>15</v>
      </c>
      <c r="B2236" t="s">
        <v>3219</v>
      </c>
      <c r="C2236" t="str">
        <f t="shared" si="34"/>
        <v>To be determinedOutcomes - LP to Validate</v>
      </c>
    </row>
    <row r="2237" spans="1:3" x14ac:dyDescent="0.35">
      <c r="A2237" t="s">
        <v>15</v>
      </c>
      <c r="B2237" t="s">
        <v>3219</v>
      </c>
      <c r="C2237" t="str">
        <f t="shared" si="34"/>
        <v>To be determinedOutcomes - LP to Validate</v>
      </c>
    </row>
    <row r="2238" spans="1:3" x14ac:dyDescent="0.35">
      <c r="A2238" t="s">
        <v>15</v>
      </c>
      <c r="B2238" t="s">
        <v>3337</v>
      </c>
      <c r="C2238" t="str">
        <f t="shared" si="34"/>
        <v xml:space="preserve">To be determinedLP to Validate </v>
      </c>
    </row>
    <row r="2239" spans="1:3" x14ac:dyDescent="0.35">
      <c r="A2239" t="s">
        <v>15</v>
      </c>
      <c r="B2239" t="s">
        <v>3350</v>
      </c>
      <c r="C2239" t="str">
        <f t="shared" si="34"/>
        <v xml:space="preserve">To be determinedOutcomes - LP to Validate </v>
      </c>
    </row>
    <row r="2240" spans="1:3" x14ac:dyDescent="0.35">
      <c r="A2240" t="s">
        <v>15</v>
      </c>
      <c r="B2240" t="s">
        <v>3337</v>
      </c>
      <c r="C2240" t="str">
        <f t="shared" si="34"/>
        <v xml:space="preserve">To be determinedLP to Validate </v>
      </c>
    </row>
    <row r="2241" spans="1:3" x14ac:dyDescent="0.35">
      <c r="A2241" t="s">
        <v>15</v>
      </c>
      <c r="B2241" t="s">
        <v>3219</v>
      </c>
      <c r="C2241" t="str">
        <f t="shared" si="34"/>
        <v>To be determinedOutcomes - LP to Validate</v>
      </c>
    </row>
    <row r="2242" spans="1:3" x14ac:dyDescent="0.35">
      <c r="A2242" t="s">
        <v>15</v>
      </c>
      <c r="B2242" t="s">
        <v>3219</v>
      </c>
      <c r="C2242" t="str">
        <f t="shared" si="34"/>
        <v>To be determinedOutcomes - LP to Validate</v>
      </c>
    </row>
    <row r="2243" spans="1:3" x14ac:dyDescent="0.35">
      <c r="A2243" t="s">
        <v>15</v>
      </c>
      <c r="B2243" t="s">
        <v>3219</v>
      </c>
      <c r="C2243" t="str">
        <f t="shared" ref="C2243:C2306" si="35">CONCATENATE(A2243,B2243)</f>
        <v>To be determinedOutcomes - LP to Validate</v>
      </c>
    </row>
    <row r="2244" spans="1:3" x14ac:dyDescent="0.35">
      <c r="A2244" t="s">
        <v>15</v>
      </c>
      <c r="B2244" t="s">
        <v>3219</v>
      </c>
      <c r="C2244" t="str">
        <f t="shared" si="35"/>
        <v>To be determinedOutcomes - LP to Validate</v>
      </c>
    </row>
    <row r="2245" spans="1:3" x14ac:dyDescent="0.35">
      <c r="A2245" t="s">
        <v>15</v>
      </c>
      <c r="B2245" t="s">
        <v>3219</v>
      </c>
      <c r="C2245" t="str">
        <f t="shared" si="35"/>
        <v>To be determinedOutcomes - LP to Validate</v>
      </c>
    </row>
    <row r="2246" spans="1:3" x14ac:dyDescent="0.35">
      <c r="A2246" t="s">
        <v>15</v>
      </c>
      <c r="B2246" t="s">
        <v>3219</v>
      </c>
      <c r="C2246" t="str">
        <f t="shared" si="35"/>
        <v>To be determinedOutcomes - LP to Validate</v>
      </c>
    </row>
    <row r="2247" spans="1:3" x14ac:dyDescent="0.35">
      <c r="A2247" t="s">
        <v>15</v>
      </c>
      <c r="B2247" t="s">
        <v>3219</v>
      </c>
      <c r="C2247" t="str">
        <f t="shared" si="35"/>
        <v>To be determinedOutcomes - LP to Validate</v>
      </c>
    </row>
    <row r="2248" spans="1:3" x14ac:dyDescent="0.35">
      <c r="A2248" t="s">
        <v>15</v>
      </c>
      <c r="B2248" t="s">
        <v>3219</v>
      </c>
      <c r="C2248" t="str">
        <f t="shared" si="35"/>
        <v>To be determinedOutcomes - LP to Validate</v>
      </c>
    </row>
    <row r="2249" spans="1:3" x14ac:dyDescent="0.35">
      <c r="A2249" t="s">
        <v>15</v>
      </c>
      <c r="B2249" t="s">
        <v>3219</v>
      </c>
      <c r="C2249" t="str">
        <f t="shared" si="35"/>
        <v>To be determinedOutcomes - LP to Validate</v>
      </c>
    </row>
    <row r="2250" spans="1:3" x14ac:dyDescent="0.35">
      <c r="A2250" t="s">
        <v>15</v>
      </c>
      <c r="B2250" t="s">
        <v>3219</v>
      </c>
      <c r="C2250" t="str">
        <f t="shared" si="35"/>
        <v>To be determinedOutcomes - LP to Validate</v>
      </c>
    </row>
    <row r="2251" spans="1:3" x14ac:dyDescent="0.35">
      <c r="A2251" t="s">
        <v>15</v>
      </c>
      <c r="B2251" t="s">
        <v>3219</v>
      </c>
      <c r="C2251" t="str">
        <f t="shared" si="35"/>
        <v>To be determinedOutcomes - LP to Validate</v>
      </c>
    </row>
    <row r="2252" spans="1:3" x14ac:dyDescent="0.35">
      <c r="A2252" t="s">
        <v>15</v>
      </c>
      <c r="B2252" t="s">
        <v>3219</v>
      </c>
      <c r="C2252" t="str">
        <f t="shared" si="35"/>
        <v>To be determinedOutcomes - LP to Validate</v>
      </c>
    </row>
    <row r="2253" spans="1:3" x14ac:dyDescent="0.35">
      <c r="A2253" t="s">
        <v>15</v>
      </c>
      <c r="B2253" t="s">
        <v>3350</v>
      </c>
      <c r="C2253" t="str">
        <f t="shared" si="35"/>
        <v xml:space="preserve">To be determinedOutcomes - LP to Validate </v>
      </c>
    </row>
    <row r="2254" spans="1:3" x14ac:dyDescent="0.35">
      <c r="A2254" t="s">
        <v>15</v>
      </c>
      <c r="B2254" t="s">
        <v>3219</v>
      </c>
      <c r="C2254" t="str">
        <f t="shared" si="35"/>
        <v>To be determinedOutcomes - LP to Validate</v>
      </c>
    </row>
    <row r="2255" spans="1:3" x14ac:dyDescent="0.35">
      <c r="A2255" t="s">
        <v>15</v>
      </c>
      <c r="B2255" t="s">
        <v>3219</v>
      </c>
      <c r="C2255" t="str">
        <f t="shared" si="35"/>
        <v>To be determinedOutcomes - LP to Validate</v>
      </c>
    </row>
    <row r="2256" spans="1:3" x14ac:dyDescent="0.35">
      <c r="A2256" t="s">
        <v>15</v>
      </c>
      <c r="B2256" t="s">
        <v>3219</v>
      </c>
      <c r="C2256" t="str">
        <f t="shared" si="35"/>
        <v>To be determinedOutcomes - LP to Validate</v>
      </c>
    </row>
    <row r="2257" spans="1:3" x14ac:dyDescent="0.35">
      <c r="A2257" t="s">
        <v>15</v>
      </c>
      <c r="B2257" t="s">
        <v>3219</v>
      </c>
      <c r="C2257" t="str">
        <f t="shared" si="35"/>
        <v>To be determinedOutcomes - LP to Validate</v>
      </c>
    </row>
    <row r="2258" spans="1:3" x14ac:dyDescent="0.35">
      <c r="A2258" t="s">
        <v>15</v>
      </c>
      <c r="B2258" t="s">
        <v>3219</v>
      </c>
      <c r="C2258" t="str">
        <f t="shared" si="35"/>
        <v>To be determinedOutcomes - LP to Validate</v>
      </c>
    </row>
    <row r="2259" spans="1:3" x14ac:dyDescent="0.35">
      <c r="A2259" t="s">
        <v>15</v>
      </c>
      <c r="B2259" t="s">
        <v>3219</v>
      </c>
      <c r="C2259" t="str">
        <f t="shared" si="35"/>
        <v>To be determinedOutcomes - LP to Validate</v>
      </c>
    </row>
    <row r="2260" spans="1:3" x14ac:dyDescent="0.35">
      <c r="A2260" t="s">
        <v>15</v>
      </c>
      <c r="B2260" t="s">
        <v>3219</v>
      </c>
      <c r="C2260" t="str">
        <f t="shared" si="35"/>
        <v>To be determinedOutcomes - LP to Validate</v>
      </c>
    </row>
    <row r="2261" spans="1:3" x14ac:dyDescent="0.35">
      <c r="A2261" t="s">
        <v>15</v>
      </c>
      <c r="B2261" t="s">
        <v>3261</v>
      </c>
      <c r="C2261" t="str">
        <f t="shared" si="35"/>
        <v>To be determinedOutcomes: &lt;LP to validate&gt;</v>
      </c>
    </row>
    <row r="2262" spans="1:3" x14ac:dyDescent="0.35">
      <c r="A2262" t="s">
        <v>15</v>
      </c>
      <c r="B2262" t="s">
        <v>3261</v>
      </c>
      <c r="C2262" t="str">
        <f t="shared" si="35"/>
        <v>To be determinedOutcomes: &lt;LP to validate&gt;</v>
      </c>
    </row>
    <row r="2263" spans="1:3" x14ac:dyDescent="0.35">
      <c r="A2263" t="s">
        <v>15</v>
      </c>
      <c r="B2263" t="s">
        <v>3261</v>
      </c>
      <c r="C2263" t="str">
        <f t="shared" si="35"/>
        <v>To be determinedOutcomes: &lt;LP to validate&gt;</v>
      </c>
    </row>
    <row r="2264" spans="1:3" x14ac:dyDescent="0.35">
      <c r="A2264" t="s">
        <v>15</v>
      </c>
      <c r="B2264" t="s">
        <v>3261</v>
      </c>
      <c r="C2264" t="str">
        <f t="shared" si="35"/>
        <v>To be determinedOutcomes: &lt;LP to validate&gt;</v>
      </c>
    </row>
    <row r="2265" spans="1:3" x14ac:dyDescent="0.35">
      <c r="A2265" t="s">
        <v>15</v>
      </c>
      <c r="B2265" t="s">
        <v>3261</v>
      </c>
      <c r="C2265" t="str">
        <f t="shared" si="35"/>
        <v>To be determinedOutcomes: &lt;LP to validate&gt;</v>
      </c>
    </row>
    <row r="2266" spans="1:3" x14ac:dyDescent="0.35">
      <c r="A2266" t="s">
        <v>15</v>
      </c>
      <c r="B2266" t="s">
        <v>3657</v>
      </c>
      <c r="C2266" t="str">
        <f t="shared" si="35"/>
        <v>To be determined Defined program Vision, Mission &amp; Objectives.Key business-aligned objectives identified,use cases and program metrics developed.</v>
      </c>
    </row>
    <row r="2267" spans="1:3" x14ac:dyDescent="0.35">
      <c r="A2267" t="s">
        <v>15</v>
      </c>
      <c r="B2267" t="s">
        <v>3674</v>
      </c>
      <c r="C2267" t="str">
        <f t="shared" si="35"/>
        <v>To be determinedDefine Security Awareness requirements and acquire appropriate tools and technology.</v>
      </c>
    </row>
    <row r="2268" spans="1:3" x14ac:dyDescent="0.35">
      <c r="A2268" t="s">
        <v>15</v>
      </c>
      <c r="B2268" t="s">
        <v>3689</v>
      </c>
      <c r="C2268" t="str">
        <f t="shared" si="35"/>
        <v>To be determinedDeploy Security Awareness Computer-Based Training, communication plan and other elements of program. Implement metrics and measurements.</v>
      </c>
    </row>
    <row r="2269" spans="1:3" x14ac:dyDescent="0.35">
      <c r="A2269" t="s">
        <v>15</v>
      </c>
      <c r="B2269" t="s">
        <v>3698</v>
      </c>
      <c r="C2269" t="str">
        <f t="shared" si="35"/>
        <v>To be determinedIdentify areas for improvement and implement changes. Implement targeted training for high risk groups. Improve program based on established metrics.</v>
      </c>
    </row>
    <row r="2270" spans="1:3" x14ac:dyDescent="0.35">
      <c r="A2270" t="s">
        <v>15</v>
      </c>
      <c r="B2270" t="s">
        <v>3337</v>
      </c>
      <c r="C2270" t="str">
        <f t="shared" si="35"/>
        <v xml:space="preserve">To be determinedLP to Validate </v>
      </c>
    </row>
    <row r="2271" spans="1:3" x14ac:dyDescent="0.35">
      <c r="A2271" t="s">
        <v>15</v>
      </c>
      <c r="B2271" t="s">
        <v>3219</v>
      </c>
      <c r="C2271" t="str">
        <f t="shared" si="35"/>
        <v>To be determinedOutcomes - LP to Validate</v>
      </c>
    </row>
    <row r="2272" spans="1:3" x14ac:dyDescent="0.35">
      <c r="A2272" t="s">
        <v>15</v>
      </c>
      <c r="B2272" t="s">
        <v>3219</v>
      </c>
      <c r="C2272" t="str">
        <f t="shared" si="35"/>
        <v>To be determinedOutcomes - LP to Validate</v>
      </c>
    </row>
    <row r="2273" spans="1:3" x14ac:dyDescent="0.35">
      <c r="A2273" t="s">
        <v>15</v>
      </c>
      <c r="B2273" t="s">
        <v>3219</v>
      </c>
      <c r="C2273" t="str">
        <f t="shared" si="35"/>
        <v>To be determinedOutcomes - LP to Validate</v>
      </c>
    </row>
    <row r="2274" spans="1:3" x14ac:dyDescent="0.35">
      <c r="A2274" t="s">
        <v>15</v>
      </c>
      <c r="B2274" t="s">
        <v>3219</v>
      </c>
      <c r="C2274" t="str">
        <f t="shared" si="35"/>
        <v>To be determinedOutcomes - LP to Validate</v>
      </c>
    </row>
    <row r="2275" spans="1:3" x14ac:dyDescent="0.35">
      <c r="A2275" t="s">
        <v>15</v>
      </c>
      <c r="B2275" t="s">
        <v>3219</v>
      </c>
      <c r="C2275" t="str">
        <f t="shared" si="35"/>
        <v>To be determinedOutcomes - LP to Validate</v>
      </c>
    </row>
    <row r="2276" spans="1:3" x14ac:dyDescent="0.35">
      <c r="A2276" t="s">
        <v>15</v>
      </c>
      <c r="B2276" t="s">
        <v>3261</v>
      </c>
      <c r="C2276" t="str">
        <f t="shared" si="35"/>
        <v>To be determinedOutcomes: &lt;LP to validate&gt;</v>
      </c>
    </row>
    <row r="2277" spans="1:3" x14ac:dyDescent="0.35">
      <c r="A2277" t="s">
        <v>15</v>
      </c>
      <c r="B2277" t="s">
        <v>3261</v>
      </c>
      <c r="C2277" t="str">
        <f t="shared" si="35"/>
        <v>To be determinedOutcomes: &lt;LP to validate&gt;</v>
      </c>
    </row>
    <row r="2278" spans="1:3" x14ac:dyDescent="0.35">
      <c r="A2278" t="s">
        <v>15</v>
      </c>
      <c r="B2278" t="s">
        <v>3261</v>
      </c>
      <c r="C2278" t="str">
        <f t="shared" si="35"/>
        <v>To be determinedOutcomes: &lt;LP to validate&gt;</v>
      </c>
    </row>
    <row r="2279" spans="1:3" x14ac:dyDescent="0.35">
      <c r="A2279" t="s">
        <v>15</v>
      </c>
      <c r="B2279" t="s">
        <v>3261</v>
      </c>
      <c r="C2279" t="str">
        <f t="shared" si="35"/>
        <v>To be determinedOutcomes: &lt;LP to validate&gt;</v>
      </c>
    </row>
    <row r="2280" spans="1:3" x14ac:dyDescent="0.35">
      <c r="A2280" t="s">
        <v>15</v>
      </c>
      <c r="B2280" t="s">
        <v>3261</v>
      </c>
      <c r="C2280" t="str">
        <f t="shared" si="35"/>
        <v>To be determinedOutcomes: &lt;LP to validate&gt;</v>
      </c>
    </row>
    <row r="2281" spans="1:3" x14ac:dyDescent="0.35">
      <c r="A2281" t="s">
        <v>15</v>
      </c>
      <c r="B2281" t="s">
        <v>3219</v>
      </c>
      <c r="C2281" t="str">
        <f t="shared" si="35"/>
        <v>To be determinedOutcomes - LP to Validate</v>
      </c>
    </row>
    <row r="2282" spans="1:3" x14ac:dyDescent="0.35">
      <c r="A2282" t="s">
        <v>15</v>
      </c>
      <c r="B2282" t="s">
        <v>3219</v>
      </c>
      <c r="C2282" t="str">
        <f t="shared" si="35"/>
        <v>To be determinedOutcomes - LP to Validate</v>
      </c>
    </row>
    <row r="2283" spans="1:3" x14ac:dyDescent="0.35">
      <c r="A2283" t="s">
        <v>15</v>
      </c>
      <c r="B2283" t="s">
        <v>3219</v>
      </c>
      <c r="C2283" t="str">
        <f t="shared" si="35"/>
        <v>To be determinedOutcomes - LP to Validate</v>
      </c>
    </row>
    <row r="2284" spans="1:3" x14ac:dyDescent="0.35">
      <c r="A2284" t="s">
        <v>15</v>
      </c>
      <c r="B2284" t="s">
        <v>3219</v>
      </c>
      <c r="C2284" t="str">
        <f t="shared" si="35"/>
        <v>To be determinedOutcomes - LP to Validate</v>
      </c>
    </row>
    <row r="2285" spans="1:3" x14ac:dyDescent="0.35">
      <c r="A2285" t="s">
        <v>15</v>
      </c>
      <c r="B2285" t="s">
        <v>3219</v>
      </c>
      <c r="C2285" t="str">
        <f t="shared" si="35"/>
        <v>To be determinedOutcomes - LP to Validate</v>
      </c>
    </row>
    <row r="2286" spans="1:3" x14ac:dyDescent="0.35">
      <c r="A2286" t="s">
        <v>15</v>
      </c>
      <c r="B2286" t="s">
        <v>3837</v>
      </c>
      <c r="C2286" t="str">
        <f t="shared" si="35"/>
        <v xml:space="preserve">To be determinedOutcomes - LP to Validate   </v>
      </c>
    </row>
    <row r="2287" spans="1:3" x14ac:dyDescent="0.35">
      <c r="A2287" t="s">
        <v>15</v>
      </c>
      <c r="B2287" t="s">
        <v>3850</v>
      </c>
      <c r="C2287" t="str">
        <f t="shared" si="35"/>
        <v xml:space="preserve">To be determinedOutcomes - LP to Validate  </v>
      </c>
    </row>
    <row r="2288" spans="1:3" x14ac:dyDescent="0.35">
      <c r="A2288" t="s">
        <v>15</v>
      </c>
      <c r="B2288" t="s">
        <v>3350</v>
      </c>
      <c r="C2288" t="str">
        <f t="shared" si="35"/>
        <v xml:space="preserve">To be determinedOutcomes - LP to Validate </v>
      </c>
    </row>
    <row r="2289" spans="1:3" x14ac:dyDescent="0.35">
      <c r="A2289" t="s">
        <v>15</v>
      </c>
      <c r="B2289" t="s">
        <v>3143</v>
      </c>
      <c r="C2289" t="str">
        <f t="shared" si="35"/>
        <v>To be determinedOutcomes - LP to validate</v>
      </c>
    </row>
    <row r="2290" spans="1:3" x14ac:dyDescent="0.35">
      <c r="A2290" t="s">
        <v>15</v>
      </c>
      <c r="B2290" t="s">
        <v>3219</v>
      </c>
      <c r="C2290" t="str">
        <f t="shared" si="35"/>
        <v>To be determinedOutcomes - LP to Validate</v>
      </c>
    </row>
    <row r="2291" spans="1:3" x14ac:dyDescent="0.35">
      <c r="A2291" t="s">
        <v>15</v>
      </c>
      <c r="B2291" t="s">
        <v>3350</v>
      </c>
      <c r="C2291" t="str">
        <f t="shared" si="35"/>
        <v xml:space="preserve">To be determinedOutcomes - LP to Validate </v>
      </c>
    </row>
    <row r="2292" spans="1:3" x14ac:dyDescent="0.35">
      <c r="A2292" t="s">
        <v>15</v>
      </c>
      <c r="B2292" t="s">
        <v>3350</v>
      </c>
      <c r="C2292" t="str">
        <f t="shared" si="35"/>
        <v xml:space="preserve">To be determinedOutcomes - LP to Validate </v>
      </c>
    </row>
    <row r="2293" spans="1:3" x14ac:dyDescent="0.35">
      <c r="A2293" t="s">
        <v>15</v>
      </c>
      <c r="B2293" t="s">
        <v>3905</v>
      </c>
      <c r="C2293" t="str">
        <f t="shared" si="35"/>
        <v xml:space="preserve">To be determinedOutcomes - LP to Validate    </v>
      </c>
    </row>
    <row r="2294" spans="1:3" x14ac:dyDescent="0.35">
      <c r="A2294" t="s">
        <v>15</v>
      </c>
      <c r="B2294" t="s">
        <v>3905</v>
      </c>
      <c r="C2294" t="str">
        <f t="shared" si="35"/>
        <v xml:space="preserve">To be determinedOutcomes - LP to Validate    </v>
      </c>
    </row>
    <row r="2295" spans="1:3" x14ac:dyDescent="0.35">
      <c r="A2295" t="s">
        <v>15</v>
      </c>
      <c r="B2295" t="s">
        <v>3905</v>
      </c>
      <c r="C2295" t="str">
        <f t="shared" si="35"/>
        <v xml:space="preserve">To be determinedOutcomes - LP to Validate    </v>
      </c>
    </row>
    <row r="2296" spans="1:3" x14ac:dyDescent="0.35">
      <c r="A2296" t="s">
        <v>15</v>
      </c>
      <c r="B2296" t="s">
        <v>3905</v>
      </c>
      <c r="C2296" t="str">
        <f t="shared" si="35"/>
        <v xml:space="preserve">To be determinedOutcomes - LP to Validate    </v>
      </c>
    </row>
    <row r="2297" spans="1:3" x14ac:dyDescent="0.35">
      <c r="A2297" t="s">
        <v>15</v>
      </c>
      <c r="B2297" t="s">
        <v>3905</v>
      </c>
      <c r="C2297" t="str">
        <f t="shared" si="35"/>
        <v xml:space="preserve">To be determinedOutcomes - LP to Validate    </v>
      </c>
    </row>
    <row r="2298" spans="1:3" x14ac:dyDescent="0.35">
      <c r="A2298" t="s">
        <v>15</v>
      </c>
      <c r="B2298" t="s">
        <v>3905</v>
      </c>
      <c r="C2298" t="str">
        <f t="shared" si="35"/>
        <v xml:space="preserve">To be determinedOutcomes - LP to Validate    </v>
      </c>
    </row>
    <row r="2299" spans="1:3" x14ac:dyDescent="0.35">
      <c r="A2299" t="s">
        <v>15</v>
      </c>
      <c r="B2299" t="s">
        <v>3905</v>
      </c>
      <c r="C2299" t="str">
        <f t="shared" si="35"/>
        <v xml:space="preserve">To be determinedOutcomes - LP to Validate    </v>
      </c>
    </row>
    <row r="2300" spans="1:3" x14ac:dyDescent="0.35">
      <c r="A2300" t="s">
        <v>15</v>
      </c>
      <c r="B2300" t="s">
        <v>3905</v>
      </c>
      <c r="C2300" t="str">
        <f t="shared" si="35"/>
        <v xml:space="preserve">To be determinedOutcomes - LP to Validate    </v>
      </c>
    </row>
    <row r="2301" spans="1:3" x14ac:dyDescent="0.35">
      <c r="A2301" t="s">
        <v>15</v>
      </c>
      <c r="B2301" t="s">
        <v>3219</v>
      </c>
      <c r="C2301" t="str">
        <f t="shared" si="35"/>
        <v>To be determinedOutcomes - LP to Validate</v>
      </c>
    </row>
    <row r="2302" spans="1:3" x14ac:dyDescent="0.35">
      <c r="A2302" t="s">
        <v>15</v>
      </c>
      <c r="B2302" t="s">
        <v>3837</v>
      </c>
      <c r="C2302" t="str">
        <f t="shared" si="35"/>
        <v xml:space="preserve">To be determinedOutcomes - LP to Validate   </v>
      </c>
    </row>
    <row r="2303" spans="1:3" x14ac:dyDescent="0.35">
      <c r="A2303" t="s">
        <v>15</v>
      </c>
      <c r="B2303" t="s">
        <v>3837</v>
      </c>
      <c r="C2303" t="str">
        <f t="shared" si="35"/>
        <v xml:space="preserve">To be determinedOutcomes - LP to Validate   </v>
      </c>
    </row>
    <row r="2304" spans="1:3" x14ac:dyDescent="0.35">
      <c r="A2304" t="s">
        <v>15</v>
      </c>
      <c r="B2304" t="s">
        <v>3837</v>
      </c>
      <c r="C2304" t="str">
        <f t="shared" si="35"/>
        <v xml:space="preserve">To be determinedOutcomes - LP to Validate   </v>
      </c>
    </row>
    <row r="2305" spans="1:3" x14ac:dyDescent="0.35">
      <c r="A2305" t="s">
        <v>15</v>
      </c>
      <c r="B2305" t="s">
        <v>3219</v>
      </c>
      <c r="C2305" t="str">
        <f t="shared" si="35"/>
        <v>To be determinedOutcomes - LP to Validate</v>
      </c>
    </row>
    <row r="2306" spans="1:3" x14ac:dyDescent="0.35">
      <c r="A2306" t="s">
        <v>15</v>
      </c>
      <c r="B2306" t="s">
        <v>3219</v>
      </c>
      <c r="C2306" t="str">
        <f t="shared" si="35"/>
        <v>To be determinedOutcomes - LP to Validate</v>
      </c>
    </row>
    <row r="2307" spans="1:3" x14ac:dyDescent="0.35">
      <c r="A2307" t="s">
        <v>15</v>
      </c>
      <c r="B2307" t="s">
        <v>3219</v>
      </c>
      <c r="C2307" t="str">
        <f t="shared" ref="C2307:C2330" si="36">CONCATENATE(A2307,B2307)</f>
        <v>To be determinedOutcomes - LP to Validate</v>
      </c>
    </row>
    <row r="2308" spans="1:3" x14ac:dyDescent="0.35">
      <c r="A2308" t="s">
        <v>15</v>
      </c>
      <c r="B2308" t="s">
        <v>3219</v>
      </c>
      <c r="C2308" t="str">
        <f t="shared" si="36"/>
        <v>To be determinedOutcomes - LP to Validate</v>
      </c>
    </row>
    <row r="2309" spans="1:3" x14ac:dyDescent="0.35">
      <c r="A2309" t="s">
        <v>15</v>
      </c>
      <c r="B2309" t="s">
        <v>3219</v>
      </c>
      <c r="C2309" t="str">
        <f t="shared" si="36"/>
        <v>To be determinedOutcomes - LP to Validate</v>
      </c>
    </row>
    <row r="2310" spans="1:3" x14ac:dyDescent="0.35">
      <c r="A2310" t="s">
        <v>15</v>
      </c>
      <c r="B2310" t="s">
        <v>3219</v>
      </c>
      <c r="C2310" t="str">
        <f t="shared" si="36"/>
        <v>To be determinedOutcomes - LP to Validate</v>
      </c>
    </row>
    <row r="2311" spans="1:3" x14ac:dyDescent="0.35">
      <c r="A2311" t="s">
        <v>15</v>
      </c>
      <c r="B2311" t="s">
        <v>3837</v>
      </c>
      <c r="C2311" t="str">
        <f t="shared" si="36"/>
        <v xml:space="preserve">To be determinedOutcomes - LP to Validate   </v>
      </c>
    </row>
    <row r="2312" spans="1:3" x14ac:dyDescent="0.35">
      <c r="A2312" t="s">
        <v>15</v>
      </c>
      <c r="B2312" t="s">
        <v>3837</v>
      </c>
      <c r="C2312" t="str">
        <f t="shared" si="36"/>
        <v xml:space="preserve">To be determinedOutcomes - LP to Validate   </v>
      </c>
    </row>
    <row r="2313" spans="1:3" x14ac:dyDescent="0.35">
      <c r="A2313" t="s">
        <v>15</v>
      </c>
      <c r="B2313" t="s">
        <v>3837</v>
      </c>
      <c r="C2313" t="str">
        <f t="shared" si="36"/>
        <v xml:space="preserve">To be determinedOutcomes - LP to Validate   </v>
      </c>
    </row>
    <row r="2314" spans="1:3" x14ac:dyDescent="0.35">
      <c r="A2314" t="s">
        <v>15</v>
      </c>
      <c r="B2314" t="s">
        <v>3837</v>
      </c>
      <c r="C2314" t="str">
        <f t="shared" si="36"/>
        <v xml:space="preserve">To be determinedOutcomes - LP to Validate   </v>
      </c>
    </row>
    <row r="2315" spans="1:3" x14ac:dyDescent="0.35">
      <c r="A2315" t="s">
        <v>15</v>
      </c>
      <c r="B2315" t="s">
        <v>3837</v>
      </c>
      <c r="C2315" t="str">
        <f t="shared" si="36"/>
        <v xml:space="preserve">To be determinedOutcomes - LP to Validate   </v>
      </c>
    </row>
    <row r="2316" spans="1:3" x14ac:dyDescent="0.35">
      <c r="A2316" t="s">
        <v>15</v>
      </c>
      <c r="B2316" t="s">
        <v>3219</v>
      </c>
      <c r="C2316" t="str">
        <f t="shared" si="36"/>
        <v>To be determinedOutcomes - LP to Validate</v>
      </c>
    </row>
    <row r="2317" spans="1:3" x14ac:dyDescent="0.35">
      <c r="A2317" t="s">
        <v>15</v>
      </c>
      <c r="B2317" t="s">
        <v>3219</v>
      </c>
      <c r="C2317" t="str">
        <f t="shared" si="36"/>
        <v>To be determinedOutcomes - LP to Validate</v>
      </c>
    </row>
    <row r="2318" spans="1:3" x14ac:dyDescent="0.35">
      <c r="A2318" t="s">
        <v>15</v>
      </c>
      <c r="B2318" t="s">
        <v>3219</v>
      </c>
      <c r="C2318" t="str">
        <f t="shared" si="36"/>
        <v>To be determinedOutcomes - LP to Validate</v>
      </c>
    </row>
    <row r="2319" spans="1:3" x14ac:dyDescent="0.35">
      <c r="A2319" t="s">
        <v>15</v>
      </c>
      <c r="B2319" t="s">
        <v>3219</v>
      </c>
      <c r="C2319" t="str">
        <f t="shared" si="36"/>
        <v>To be determinedOutcomes - LP to Validate</v>
      </c>
    </row>
    <row r="2320" spans="1:3" x14ac:dyDescent="0.35">
      <c r="A2320" t="s">
        <v>15</v>
      </c>
      <c r="B2320" t="s">
        <v>3219</v>
      </c>
      <c r="C2320" t="str">
        <f t="shared" si="36"/>
        <v>To be determinedOutcomes - LP to Validate</v>
      </c>
    </row>
    <row r="2321" spans="1:3" x14ac:dyDescent="0.35">
      <c r="A2321" t="s">
        <v>15</v>
      </c>
      <c r="B2321" t="s">
        <v>4123</v>
      </c>
      <c r="C2321" t="str">
        <f t="shared" si="36"/>
        <v xml:space="preserve">To be determinedOUTCOMES – LP to validate </v>
      </c>
    </row>
    <row r="2322" spans="1:3" x14ac:dyDescent="0.35">
      <c r="A2322" t="s">
        <v>15</v>
      </c>
      <c r="B2322" t="s">
        <v>3091</v>
      </c>
      <c r="C2322" t="str">
        <f t="shared" si="36"/>
        <v>To be determinedOUTCOMES - LP to validate</v>
      </c>
    </row>
    <row r="2323" spans="1:3" x14ac:dyDescent="0.35">
      <c r="A2323" t="s">
        <v>15</v>
      </c>
      <c r="B2323" t="s">
        <v>4123</v>
      </c>
      <c r="C2323" t="str">
        <f t="shared" si="36"/>
        <v xml:space="preserve">To be determinedOUTCOMES – LP to validate </v>
      </c>
    </row>
    <row r="2324" spans="1:3" x14ac:dyDescent="0.35">
      <c r="A2324" t="s">
        <v>15</v>
      </c>
      <c r="B2324" t="s">
        <v>4123</v>
      </c>
      <c r="C2324" t="str">
        <f t="shared" si="36"/>
        <v xml:space="preserve">To be determinedOUTCOMES – LP to validate </v>
      </c>
    </row>
    <row r="2325" spans="1:3" x14ac:dyDescent="0.35">
      <c r="A2325" t="s">
        <v>15</v>
      </c>
      <c r="B2325" t="s">
        <v>3091</v>
      </c>
      <c r="C2325" t="str">
        <f t="shared" si="36"/>
        <v>To be determinedOUTCOMES - LP to validate</v>
      </c>
    </row>
    <row r="2326" spans="1:3" x14ac:dyDescent="0.35">
      <c r="A2326" t="s">
        <v>15</v>
      </c>
      <c r="B2326" t="s">
        <v>3350</v>
      </c>
      <c r="C2326" t="str">
        <f t="shared" si="36"/>
        <v xml:space="preserve">To be determinedOutcomes - LP to Validate </v>
      </c>
    </row>
    <row r="2327" spans="1:3" x14ac:dyDescent="0.35">
      <c r="A2327" t="s">
        <v>15</v>
      </c>
      <c r="B2327" t="s">
        <v>3350</v>
      </c>
      <c r="C2327" t="str">
        <f t="shared" si="36"/>
        <v xml:space="preserve">To be determinedOutcomes - LP to Validate </v>
      </c>
    </row>
    <row r="2328" spans="1:3" x14ac:dyDescent="0.35">
      <c r="A2328" t="s">
        <v>15</v>
      </c>
      <c r="B2328" t="s">
        <v>3350</v>
      </c>
      <c r="C2328" t="str">
        <f t="shared" si="36"/>
        <v xml:space="preserve">To be determinedOutcomes - LP to Validate </v>
      </c>
    </row>
    <row r="2329" spans="1:3" x14ac:dyDescent="0.35">
      <c r="A2329" t="s">
        <v>15</v>
      </c>
      <c r="B2329" t="s">
        <v>3350</v>
      </c>
      <c r="C2329" t="str">
        <f t="shared" si="36"/>
        <v xml:space="preserve">To be determinedOutcomes - LP to Validate </v>
      </c>
    </row>
    <row r="2330" spans="1:3" x14ac:dyDescent="0.35">
      <c r="A2330" t="s">
        <v>15</v>
      </c>
      <c r="B2330" t="s">
        <v>3350</v>
      </c>
      <c r="C2330" t="str">
        <f t="shared" si="36"/>
        <v xml:space="preserve">To be determinedOutcomes - LP to Validate 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4"/>
  <sheetViews>
    <sheetView workbookViewId="0">
      <selection activeCell="D1" sqref="D1"/>
    </sheetView>
  </sheetViews>
  <sheetFormatPr defaultRowHeight="14.5" x14ac:dyDescent="0.35"/>
  <cols>
    <col min="1" max="1" width="25.26953125" customWidth="1"/>
  </cols>
  <sheetData>
    <row r="1" spans="1:16" x14ac:dyDescent="0.35">
      <c r="A1" s="1" t="s">
        <v>4193</v>
      </c>
      <c r="B1" s="1" t="s">
        <v>4192</v>
      </c>
      <c r="C1" s="1" t="s">
        <v>4197</v>
      </c>
      <c r="D1" s="1" t="s">
        <v>4200</v>
      </c>
      <c r="E1" s="1" t="s">
        <v>4201</v>
      </c>
      <c r="F1" s="1" t="s">
        <v>4190</v>
      </c>
      <c r="G1" s="1" t="s">
        <v>4191</v>
      </c>
      <c r="H1" s="1" t="s">
        <v>4199</v>
      </c>
      <c r="I1" s="1" t="s">
        <v>4195</v>
      </c>
      <c r="J1" s="1" t="s">
        <v>4202</v>
      </c>
      <c r="K1" s="1" t="s">
        <v>4194</v>
      </c>
      <c r="L1" s="1" t="s">
        <v>4204</v>
      </c>
      <c r="M1" s="1" t="s">
        <v>4203</v>
      </c>
      <c r="N1" s="1" t="s">
        <v>4205</v>
      </c>
      <c r="O1" s="1" t="s">
        <v>4198</v>
      </c>
      <c r="P1" s="1" t="s">
        <v>4196</v>
      </c>
    </row>
    <row r="2" spans="1:16" x14ac:dyDescent="0.35">
      <c r="A2" t="s">
        <v>47</v>
      </c>
      <c r="B2" t="s">
        <v>37</v>
      </c>
      <c r="C2" t="s">
        <v>870</v>
      </c>
      <c r="D2" t="s">
        <v>1855</v>
      </c>
      <c r="E2" t="s">
        <v>2304</v>
      </c>
      <c r="F2" t="s">
        <v>30</v>
      </c>
      <c r="G2" t="s">
        <v>33</v>
      </c>
      <c r="H2" t="s">
        <v>1232</v>
      </c>
      <c r="I2" t="s">
        <v>59</v>
      </c>
      <c r="J2" t="s">
        <v>2842</v>
      </c>
      <c r="K2" t="s">
        <v>58</v>
      </c>
      <c r="L2" t="s">
        <v>3056</v>
      </c>
      <c r="M2" t="s">
        <v>3049</v>
      </c>
      <c r="N2" t="s">
        <v>3059</v>
      </c>
      <c r="O2" t="s">
        <v>888</v>
      </c>
      <c r="P2" t="s">
        <v>412</v>
      </c>
    </row>
    <row r="3" spans="1:16" x14ac:dyDescent="0.35">
      <c r="A3" t="s">
        <v>344</v>
      </c>
      <c r="B3" t="s">
        <v>50</v>
      </c>
      <c r="C3" t="s">
        <v>2382</v>
      </c>
      <c r="D3" t="s">
        <v>1476</v>
      </c>
      <c r="E3" t="s">
        <v>2316</v>
      </c>
      <c r="F3" t="s">
        <v>43</v>
      </c>
      <c r="G3" t="s">
        <v>40</v>
      </c>
      <c r="H3" t="s">
        <v>2305</v>
      </c>
      <c r="I3" t="s">
        <v>101</v>
      </c>
      <c r="K3" t="s">
        <v>156</v>
      </c>
      <c r="L3" t="s">
        <v>3083</v>
      </c>
      <c r="M3" t="s">
        <v>3110</v>
      </c>
      <c r="N3" t="s">
        <v>3121</v>
      </c>
      <c r="O3" t="s">
        <v>1611</v>
      </c>
      <c r="P3" t="s">
        <v>3054</v>
      </c>
    </row>
    <row r="4" spans="1:16" x14ac:dyDescent="0.35">
      <c r="A4" t="s">
        <v>380</v>
      </c>
      <c r="B4" t="s">
        <v>55</v>
      </c>
      <c r="D4" t="s">
        <v>2335</v>
      </c>
      <c r="E4" t="s">
        <v>2364</v>
      </c>
      <c r="F4" t="s">
        <v>51</v>
      </c>
      <c r="G4" t="s">
        <v>44</v>
      </c>
      <c r="H4" t="s">
        <v>2317</v>
      </c>
      <c r="I4" t="s">
        <v>129</v>
      </c>
      <c r="K4" t="s">
        <v>223</v>
      </c>
      <c r="L4" t="s">
        <v>3106</v>
      </c>
      <c r="M4" t="s">
        <v>3110</v>
      </c>
      <c r="N4" t="s">
        <v>3170</v>
      </c>
      <c r="O4" t="s">
        <v>1689</v>
      </c>
      <c r="P4" t="s">
        <v>3067</v>
      </c>
    </row>
    <row r="5" spans="1:16" x14ac:dyDescent="0.35">
      <c r="A5" t="s">
        <v>429</v>
      </c>
      <c r="B5" t="s">
        <v>60</v>
      </c>
      <c r="D5" t="s">
        <v>3268</v>
      </c>
      <c r="E5" t="s">
        <v>2387</v>
      </c>
      <c r="F5" t="s">
        <v>52</v>
      </c>
      <c r="G5" t="s">
        <v>65</v>
      </c>
      <c r="H5" t="s">
        <v>2404</v>
      </c>
      <c r="I5" t="s">
        <v>149</v>
      </c>
      <c r="K5" t="s">
        <v>325</v>
      </c>
      <c r="L5" t="s">
        <v>3118</v>
      </c>
      <c r="M5" t="s">
        <v>3211</v>
      </c>
      <c r="N5" t="s">
        <v>3121</v>
      </c>
      <c r="O5" t="s">
        <v>2284</v>
      </c>
      <c r="P5" t="s">
        <v>3081</v>
      </c>
    </row>
    <row r="6" spans="1:16" x14ac:dyDescent="0.35">
      <c r="A6" t="s">
        <v>430</v>
      </c>
      <c r="B6" t="s">
        <v>80</v>
      </c>
      <c r="D6" t="s">
        <v>3528</v>
      </c>
      <c r="E6" t="s">
        <v>2402</v>
      </c>
      <c r="F6" t="s">
        <v>61</v>
      </c>
      <c r="G6" t="s">
        <v>71</v>
      </c>
      <c r="H6" t="s">
        <v>2446</v>
      </c>
      <c r="I6" t="s">
        <v>188</v>
      </c>
      <c r="K6" t="s">
        <v>462</v>
      </c>
      <c r="L6" t="s">
        <v>3137</v>
      </c>
      <c r="M6" t="s">
        <v>3110</v>
      </c>
      <c r="N6" t="s">
        <v>3226</v>
      </c>
      <c r="O6" t="s">
        <v>2342</v>
      </c>
      <c r="P6" t="s">
        <v>3091</v>
      </c>
    </row>
    <row r="7" spans="1:16" x14ac:dyDescent="0.35">
      <c r="A7" t="s">
        <v>477</v>
      </c>
      <c r="B7" t="s">
        <v>81</v>
      </c>
      <c r="E7" t="s">
        <v>1077</v>
      </c>
      <c r="F7" t="s">
        <v>64</v>
      </c>
      <c r="G7" t="s">
        <v>74</v>
      </c>
      <c r="H7" t="s">
        <v>2449</v>
      </c>
      <c r="I7" t="s">
        <v>195</v>
      </c>
      <c r="K7" t="s">
        <v>465</v>
      </c>
      <c r="L7" t="s">
        <v>3144</v>
      </c>
      <c r="M7" t="s">
        <v>3110</v>
      </c>
      <c r="N7" t="s">
        <v>3267</v>
      </c>
      <c r="O7" t="s">
        <v>3114</v>
      </c>
      <c r="P7" t="s">
        <v>3081</v>
      </c>
    </row>
    <row r="8" spans="1:16" x14ac:dyDescent="0.35">
      <c r="A8" t="s">
        <v>480</v>
      </c>
      <c r="B8" t="s">
        <v>87</v>
      </c>
      <c r="E8" t="s">
        <v>2450</v>
      </c>
      <c r="F8" t="s">
        <v>68</v>
      </c>
      <c r="G8" t="s">
        <v>76</v>
      </c>
      <c r="H8" t="s">
        <v>2475</v>
      </c>
      <c r="I8" t="s">
        <v>235</v>
      </c>
      <c r="K8" t="s">
        <v>521</v>
      </c>
      <c r="L8" t="s">
        <v>3118</v>
      </c>
      <c r="M8" t="s">
        <v>3324</v>
      </c>
      <c r="N8" t="s">
        <v>3170</v>
      </c>
      <c r="O8" t="s">
        <v>3163</v>
      </c>
      <c r="P8" t="s">
        <v>3091</v>
      </c>
    </row>
    <row r="9" spans="1:16" x14ac:dyDescent="0.35">
      <c r="A9" t="s">
        <v>538</v>
      </c>
      <c r="B9" t="s">
        <v>98</v>
      </c>
      <c r="E9" t="s">
        <v>2469</v>
      </c>
      <c r="F9" t="s">
        <v>75</v>
      </c>
      <c r="G9" t="s">
        <v>79</v>
      </c>
      <c r="H9" t="s">
        <v>2577</v>
      </c>
      <c r="I9" t="s">
        <v>243</v>
      </c>
      <c r="K9" t="s">
        <v>530</v>
      </c>
      <c r="L9" t="s">
        <v>3137</v>
      </c>
      <c r="M9" t="s">
        <v>3110</v>
      </c>
      <c r="N9" t="s">
        <v>3304</v>
      </c>
      <c r="O9" t="s">
        <v>3114</v>
      </c>
      <c r="P9" t="s">
        <v>3091</v>
      </c>
    </row>
    <row r="10" spans="1:16" x14ac:dyDescent="0.35">
      <c r="A10" t="s">
        <v>544</v>
      </c>
      <c r="B10" t="s">
        <v>105</v>
      </c>
      <c r="E10" t="s">
        <v>2476</v>
      </c>
      <c r="F10" t="s">
        <v>82</v>
      </c>
      <c r="G10" t="s">
        <v>89</v>
      </c>
      <c r="H10" t="s">
        <v>2642</v>
      </c>
      <c r="I10" t="s">
        <v>263</v>
      </c>
      <c r="K10" t="s">
        <v>574</v>
      </c>
      <c r="L10" t="s">
        <v>3144</v>
      </c>
      <c r="M10" t="s">
        <v>3374</v>
      </c>
      <c r="N10" t="s">
        <v>3121</v>
      </c>
      <c r="O10" t="s">
        <v>3114</v>
      </c>
      <c r="P10" t="s">
        <v>3120</v>
      </c>
    </row>
    <row r="11" spans="1:16" x14ac:dyDescent="0.35">
      <c r="A11" t="s">
        <v>633</v>
      </c>
      <c r="B11" t="s">
        <v>114</v>
      </c>
      <c r="E11" t="s">
        <v>2528</v>
      </c>
      <c r="F11" t="s">
        <v>83</v>
      </c>
      <c r="G11" t="s">
        <v>95</v>
      </c>
      <c r="H11" t="s">
        <v>2776</v>
      </c>
      <c r="I11" t="s">
        <v>267</v>
      </c>
      <c r="K11" t="s">
        <v>616</v>
      </c>
      <c r="L11" t="s">
        <v>3118</v>
      </c>
      <c r="M11" t="s">
        <v>3387</v>
      </c>
      <c r="N11" t="s">
        <v>3372</v>
      </c>
      <c r="O11" t="s">
        <v>3114</v>
      </c>
      <c r="P11" t="s">
        <v>3120</v>
      </c>
    </row>
    <row r="12" spans="1:16" x14ac:dyDescent="0.35">
      <c r="A12" t="s">
        <v>708</v>
      </c>
      <c r="B12" t="s">
        <v>120</v>
      </c>
      <c r="E12" t="s">
        <v>2560</v>
      </c>
      <c r="F12" t="s">
        <v>84</v>
      </c>
      <c r="G12" t="s">
        <v>124</v>
      </c>
      <c r="H12" t="s">
        <v>2994</v>
      </c>
      <c r="I12" t="s">
        <v>295</v>
      </c>
      <c r="K12" t="s">
        <v>664</v>
      </c>
      <c r="L12" t="s">
        <v>3137</v>
      </c>
      <c r="M12" t="s">
        <v>3110</v>
      </c>
      <c r="N12" t="s">
        <v>3121</v>
      </c>
      <c r="O12" t="s">
        <v>3114</v>
      </c>
      <c r="P12" t="s">
        <v>3143</v>
      </c>
    </row>
    <row r="13" spans="1:16" x14ac:dyDescent="0.35">
      <c r="A13" t="s">
        <v>773</v>
      </c>
      <c r="B13" t="s">
        <v>126</v>
      </c>
      <c r="E13" t="s">
        <v>2562</v>
      </c>
      <c r="F13" t="s">
        <v>92</v>
      </c>
      <c r="G13" t="s">
        <v>133</v>
      </c>
      <c r="H13" t="s">
        <v>888</v>
      </c>
      <c r="I13" t="s">
        <v>347</v>
      </c>
      <c r="K13" t="s">
        <v>831</v>
      </c>
      <c r="L13" t="s">
        <v>3252</v>
      </c>
      <c r="M13" t="s">
        <v>3110</v>
      </c>
      <c r="N13" t="s">
        <v>3121</v>
      </c>
      <c r="O13" t="s">
        <v>3114</v>
      </c>
      <c r="P13" t="s">
        <v>3120</v>
      </c>
    </row>
    <row r="14" spans="1:16" x14ac:dyDescent="0.35">
      <c r="A14" t="s">
        <v>838</v>
      </c>
      <c r="B14" t="s">
        <v>138</v>
      </c>
      <c r="E14" t="s">
        <v>2578</v>
      </c>
      <c r="F14" t="s">
        <v>102</v>
      </c>
      <c r="G14" t="s">
        <v>144</v>
      </c>
      <c r="H14" t="s">
        <v>3086</v>
      </c>
      <c r="I14" t="s">
        <v>390</v>
      </c>
      <c r="K14" t="s">
        <v>842</v>
      </c>
      <c r="L14" t="s">
        <v>3270</v>
      </c>
      <c r="M14" t="s">
        <v>3110</v>
      </c>
      <c r="N14" t="s">
        <v>3170</v>
      </c>
      <c r="O14" t="s">
        <v>3936</v>
      </c>
      <c r="P14" t="s">
        <v>3158</v>
      </c>
    </row>
    <row r="15" spans="1:16" x14ac:dyDescent="0.35">
      <c r="A15" t="s">
        <v>939</v>
      </c>
      <c r="B15" t="s">
        <v>148</v>
      </c>
      <c r="E15" t="s">
        <v>2594</v>
      </c>
      <c r="F15" t="s">
        <v>108</v>
      </c>
      <c r="G15" t="s">
        <v>189</v>
      </c>
      <c r="H15" t="s">
        <v>3095</v>
      </c>
      <c r="I15" t="s">
        <v>484</v>
      </c>
      <c r="K15" t="s">
        <v>899</v>
      </c>
      <c r="L15" t="s">
        <v>3083</v>
      </c>
      <c r="M15" t="s">
        <v>3533</v>
      </c>
      <c r="N15" t="s">
        <v>3526</v>
      </c>
      <c r="P15" t="s">
        <v>3158</v>
      </c>
    </row>
    <row r="16" spans="1:16" x14ac:dyDescent="0.35">
      <c r="A16" t="s">
        <v>977</v>
      </c>
      <c r="B16" t="s">
        <v>150</v>
      </c>
      <c r="E16" t="s">
        <v>2615</v>
      </c>
      <c r="F16" t="s">
        <v>111</v>
      </c>
      <c r="G16" t="s">
        <v>204</v>
      </c>
      <c r="H16" t="s">
        <v>3103</v>
      </c>
      <c r="I16" t="s">
        <v>485</v>
      </c>
      <c r="K16" t="s">
        <v>931</v>
      </c>
      <c r="L16" t="s">
        <v>3118</v>
      </c>
      <c r="M16" t="s">
        <v>3570</v>
      </c>
      <c r="N16" t="s">
        <v>3595</v>
      </c>
      <c r="P16" t="s">
        <v>3158</v>
      </c>
    </row>
    <row r="17" spans="1:16" x14ac:dyDescent="0.35">
      <c r="A17" t="s">
        <v>1002</v>
      </c>
      <c r="B17" t="s">
        <v>153</v>
      </c>
      <c r="E17" t="s">
        <v>2632</v>
      </c>
      <c r="F17" t="s">
        <v>117</v>
      </c>
      <c r="G17" t="s">
        <v>213</v>
      </c>
      <c r="I17" t="s">
        <v>536</v>
      </c>
      <c r="K17" t="s">
        <v>968</v>
      </c>
      <c r="L17" t="s">
        <v>3137</v>
      </c>
      <c r="M17" t="s">
        <v>3387</v>
      </c>
      <c r="N17" t="s">
        <v>3608</v>
      </c>
      <c r="P17" t="s">
        <v>3158</v>
      </c>
    </row>
    <row r="18" spans="1:16" x14ac:dyDescent="0.35">
      <c r="A18" t="s">
        <v>1054</v>
      </c>
      <c r="B18" t="s">
        <v>159</v>
      </c>
      <c r="E18" t="s">
        <v>2651</v>
      </c>
      <c r="F18" t="s">
        <v>123</v>
      </c>
      <c r="G18" t="s">
        <v>233</v>
      </c>
      <c r="I18" t="s">
        <v>537</v>
      </c>
      <c r="K18" t="s">
        <v>1124</v>
      </c>
      <c r="L18" t="s">
        <v>3314</v>
      </c>
      <c r="M18" t="s">
        <v>3682</v>
      </c>
      <c r="N18" t="s">
        <v>3694</v>
      </c>
      <c r="P18" t="s">
        <v>3158</v>
      </c>
    </row>
    <row r="19" spans="1:16" x14ac:dyDescent="0.35">
      <c r="A19" t="s">
        <v>1095</v>
      </c>
      <c r="B19" t="s">
        <v>166</v>
      </c>
      <c r="E19" t="s">
        <v>2669</v>
      </c>
      <c r="F19" t="s">
        <v>130</v>
      </c>
      <c r="G19" t="s">
        <v>257</v>
      </c>
      <c r="I19" t="s">
        <v>578</v>
      </c>
      <c r="K19" t="s">
        <v>1331</v>
      </c>
      <c r="L19" t="s">
        <v>3118</v>
      </c>
      <c r="M19" t="s">
        <v>3707</v>
      </c>
      <c r="N19" t="s">
        <v>3723</v>
      </c>
      <c r="P19" t="s">
        <v>3158</v>
      </c>
    </row>
    <row r="20" spans="1:16" x14ac:dyDescent="0.35">
      <c r="A20" t="s">
        <v>1137</v>
      </c>
      <c r="B20" t="s">
        <v>173</v>
      </c>
      <c r="E20" t="s">
        <v>2683</v>
      </c>
      <c r="F20" t="s">
        <v>141</v>
      </c>
      <c r="G20" t="s">
        <v>284</v>
      </c>
      <c r="I20" t="s">
        <v>629</v>
      </c>
      <c r="K20" t="s">
        <v>1334</v>
      </c>
      <c r="L20" t="s">
        <v>3137</v>
      </c>
      <c r="M20" t="s">
        <v>3764</v>
      </c>
      <c r="N20" t="s">
        <v>3775</v>
      </c>
      <c r="P20" t="s">
        <v>3219</v>
      </c>
    </row>
    <row r="21" spans="1:16" x14ac:dyDescent="0.35">
      <c r="A21" t="s">
        <v>1221</v>
      </c>
      <c r="B21" t="s">
        <v>176</v>
      </c>
      <c r="E21" t="s">
        <v>2703</v>
      </c>
      <c r="F21" t="s">
        <v>145</v>
      </c>
      <c r="G21" t="s">
        <v>290</v>
      </c>
      <c r="I21" t="s">
        <v>672</v>
      </c>
      <c r="K21" t="s">
        <v>1422</v>
      </c>
      <c r="L21" t="s">
        <v>3360</v>
      </c>
      <c r="M21" t="s">
        <v>3787</v>
      </c>
      <c r="N21" t="s">
        <v>3803</v>
      </c>
      <c r="P21" t="s">
        <v>3120</v>
      </c>
    </row>
    <row r="22" spans="1:16" x14ac:dyDescent="0.35">
      <c r="A22" t="s">
        <v>1304</v>
      </c>
      <c r="B22" t="s">
        <v>182</v>
      </c>
      <c r="E22" t="s">
        <v>2717</v>
      </c>
      <c r="F22" t="s">
        <v>162</v>
      </c>
      <c r="G22" t="s">
        <v>300</v>
      </c>
      <c r="I22" t="s">
        <v>716</v>
      </c>
      <c r="K22" t="s">
        <v>1734</v>
      </c>
      <c r="L22" t="s">
        <v>3373</v>
      </c>
      <c r="M22" t="s">
        <v>4003</v>
      </c>
      <c r="N22" t="s">
        <v>3814</v>
      </c>
      <c r="P22" t="s">
        <v>3120</v>
      </c>
    </row>
    <row r="23" spans="1:16" x14ac:dyDescent="0.35">
      <c r="A23" t="s">
        <v>1349</v>
      </c>
      <c r="B23" t="s">
        <v>196</v>
      </c>
      <c r="E23" t="s">
        <v>2739</v>
      </c>
      <c r="F23" t="s">
        <v>163</v>
      </c>
      <c r="G23" t="s">
        <v>306</v>
      </c>
      <c r="I23" t="s">
        <v>825</v>
      </c>
      <c r="K23" t="s">
        <v>1803</v>
      </c>
      <c r="L23" t="s">
        <v>3390</v>
      </c>
      <c r="M23" t="s">
        <v>3707</v>
      </c>
      <c r="N23" t="s">
        <v>3930</v>
      </c>
      <c r="P23" t="s">
        <v>3120</v>
      </c>
    </row>
    <row r="24" spans="1:16" x14ac:dyDescent="0.35">
      <c r="A24" t="s">
        <v>1391</v>
      </c>
      <c r="B24" t="s">
        <v>197</v>
      </c>
      <c r="E24" t="s">
        <v>2758</v>
      </c>
      <c r="F24" t="s">
        <v>169</v>
      </c>
      <c r="G24" t="s">
        <v>328</v>
      </c>
      <c r="I24" t="s">
        <v>826</v>
      </c>
      <c r="K24" t="s">
        <v>1865</v>
      </c>
      <c r="L24" t="s">
        <v>3400</v>
      </c>
      <c r="N24" t="s">
        <v>4021</v>
      </c>
      <c r="P24" t="s">
        <v>3120</v>
      </c>
    </row>
    <row r="25" spans="1:16" x14ac:dyDescent="0.35">
      <c r="A25" t="s">
        <v>1397</v>
      </c>
      <c r="B25" t="s">
        <v>203</v>
      </c>
      <c r="E25" t="s">
        <v>2773</v>
      </c>
      <c r="F25" t="s">
        <v>170</v>
      </c>
      <c r="G25" t="s">
        <v>332</v>
      </c>
      <c r="I25" t="s">
        <v>883</v>
      </c>
      <c r="K25" t="s">
        <v>1925</v>
      </c>
      <c r="L25" t="s">
        <v>3118</v>
      </c>
      <c r="N25" t="s">
        <v>3803</v>
      </c>
      <c r="P25" t="s">
        <v>3261</v>
      </c>
    </row>
    <row r="26" spans="1:16" x14ac:dyDescent="0.35">
      <c r="A26" t="s">
        <v>1428</v>
      </c>
      <c r="B26" t="s">
        <v>207</v>
      </c>
      <c r="E26" t="s">
        <v>2796</v>
      </c>
      <c r="F26" t="s">
        <v>179</v>
      </c>
      <c r="G26" t="s">
        <v>335</v>
      </c>
      <c r="I26" t="s">
        <v>914</v>
      </c>
      <c r="K26" t="s">
        <v>1956</v>
      </c>
      <c r="L26" t="s">
        <v>3137</v>
      </c>
      <c r="N26" t="s">
        <v>3814</v>
      </c>
      <c r="P26" t="s">
        <v>3261</v>
      </c>
    </row>
    <row r="27" spans="1:16" x14ac:dyDescent="0.35">
      <c r="A27" t="s">
        <v>1517</v>
      </c>
      <c r="B27" t="s">
        <v>217</v>
      </c>
      <c r="E27" t="s">
        <v>2804</v>
      </c>
      <c r="F27" t="s">
        <v>185</v>
      </c>
      <c r="G27" t="s">
        <v>341</v>
      </c>
      <c r="I27" t="s">
        <v>930</v>
      </c>
      <c r="K27" t="s">
        <v>1959</v>
      </c>
      <c r="L27" t="s">
        <v>3118</v>
      </c>
      <c r="P27" t="s">
        <v>3279</v>
      </c>
    </row>
    <row r="28" spans="1:16" x14ac:dyDescent="0.35">
      <c r="A28" t="s">
        <v>1870</v>
      </c>
      <c r="B28" t="s">
        <v>229</v>
      </c>
      <c r="E28" t="s">
        <v>2821</v>
      </c>
      <c r="F28" t="s">
        <v>192</v>
      </c>
      <c r="G28" t="s">
        <v>349</v>
      </c>
      <c r="I28" t="s">
        <v>973</v>
      </c>
      <c r="K28" t="s">
        <v>2042</v>
      </c>
      <c r="L28" t="s">
        <v>3137</v>
      </c>
      <c r="P28" t="s">
        <v>3261</v>
      </c>
    </row>
    <row r="29" spans="1:16" x14ac:dyDescent="0.35">
      <c r="A29" t="s">
        <v>2162</v>
      </c>
      <c r="B29" t="s">
        <v>236</v>
      </c>
      <c r="E29" t="s">
        <v>2823</v>
      </c>
      <c r="F29" t="s">
        <v>200</v>
      </c>
      <c r="G29" t="s">
        <v>352</v>
      </c>
      <c r="I29" t="s">
        <v>1058</v>
      </c>
      <c r="K29" t="s">
        <v>2154</v>
      </c>
      <c r="L29" t="s">
        <v>3118</v>
      </c>
      <c r="P29" t="s">
        <v>3261</v>
      </c>
    </row>
    <row r="30" spans="1:16" x14ac:dyDescent="0.35">
      <c r="A30" t="s">
        <v>2193</v>
      </c>
      <c r="B30" t="s">
        <v>244</v>
      </c>
      <c r="E30" t="s">
        <v>2964</v>
      </c>
      <c r="F30" t="s">
        <v>210</v>
      </c>
      <c r="G30" t="s">
        <v>360</v>
      </c>
      <c r="I30" t="s">
        <v>1065</v>
      </c>
      <c r="K30" t="s">
        <v>2323</v>
      </c>
      <c r="L30" t="s">
        <v>3507</v>
      </c>
      <c r="P30" t="s">
        <v>3296</v>
      </c>
    </row>
    <row r="31" spans="1:16" x14ac:dyDescent="0.35">
      <c r="A31" t="s">
        <v>2232</v>
      </c>
      <c r="B31" t="s">
        <v>246</v>
      </c>
      <c r="E31" t="s">
        <v>3001</v>
      </c>
      <c r="F31" t="s">
        <v>216</v>
      </c>
      <c r="G31" t="s">
        <v>368</v>
      </c>
      <c r="I31" t="s">
        <v>1098</v>
      </c>
      <c r="K31" t="s">
        <v>2337</v>
      </c>
      <c r="L31" t="s">
        <v>3527</v>
      </c>
      <c r="P31" t="s">
        <v>3296</v>
      </c>
    </row>
    <row r="32" spans="1:16" x14ac:dyDescent="0.35">
      <c r="A32" t="s">
        <v>2312</v>
      </c>
      <c r="B32" t="s">
        <v>251</v>
      </c>
      <c r="E32" t="s">
        <v>3036</v>
      </c>
      <c r="F32" t="s">
        <v>220</v>
      </c>
      <c r="G32" t="s">
        <v>377</v>
      </c>
      <c r="I32" t="s">
        <v>1144</v>
      </c>
      <c r="K32" t="s">
        <v>2348</v>
      </c>
      <c r="L32" t="s">
        <v>3543</v>
      </c>
      <c r="P32" t="s">
        <v>3219</v>
      </c>
    </row>
    <row r="33" spans="1:16" x14ac:dyDescent="0.35">
      <c r="A33" t="s">
        <v>2363</v>
      </c>
      <c r="B33" t="s">
        <v>255</v>
      </c>
      <c r="E33" t="s">
        <v>4187</v>
      </c>
      <c r="F33" t="s">
        <v>226</v>
      </c>
      <c r="G33" t="s">
        <v>394</v>
      </c>
      <c r="I33" t="s">
        <v>1153</v>
      </c>
      <c r="K33" t="s">
        <v>2373</v>
      </c>
      <c r="L33" t="s">
        <v>3560</v>
      </c>
      <c r="P33" t="s">
        <v>3219</v>
      </c>
    </row>
    <row r="34" spans="1:16" x14ac:dyDescent="0.35">
      <c r="A34" t="s">
        <v>2383</v>
      </c>
      <c r="B34" t="s">
        <v>268</v>
      </c>
      <c r="F34" t="s">
        <v>240</v>
      </c>
      <c r="G34" t="s">
        <v>401</v>
      </c>
      <c r="I34" t="s">
        <v>1169</v>
      </c>
      <c r="K34" t="s">
        <v>2415</v>
      </c>
      <c r="L34" t="s">
        <v>3580</v>
      </c>
      <c r="P34" t="s">
        <v>3219</v>
      </c>
    </row>
    <row r="35" spans="1:16" x14ac:dyDescent="0.35">
      <c r="A35" t="s">
        <v>2397</v>
      </c>
      <c r="B35" t="s">
        <v>269</v>
      </c>
      <c r="F35" t="s">
        <v>249</v>
      </c>
      <c r="G35" t="s">
        <v>403</v>
      </c>
      <c r="I35" t="s">
        <v>1188</v>
      </c>
      <c r="K35" t="s">
        <v>2480</v>
      </c>
      <c r="L35" t="s">
        <v>3527</v>
      </c>
      <c r="P35" t="s">
        <v>3337</v>
      </c>
    </row>
    <row r="36" spans="1:16" x14ac:dyDescent="0.35">
      <c r="A36" t="s">
        <v>2427</v>
      </c>
      <c r="B36" t="s">
        <v>277</v>
      </c>
      <c r="F36" t="s">
        <v>254</v>
      </c>
      <c r="G36" t="s">
        <v>410</v>
      </c>
      <c r="I36" t="s">
        <v>1193</v>
      </c>
      <c r="K36" t="s">
        <v>2511</v>
      </c>
      <c r="L36" t="s">
        <v>3400</v>
      </c>
      <c r="P36" t="s">
        <v>3350</v>
      </c>
    </row>
    <row r="37" spans="1:16" x14ac:dyDescent="0.35">
      <c r="A37" t="s">
        <v>2447</v>
      </c>
      <c r="B37" t="s">
        <v>280</v>
      </c>
      <c r="F37" t="s">
        <v>260</v>
      </c>
      <c r="G37" t="s">
        <v>413</v>
      </c>
      <c r="I37" t="s">
        <v>1231</v>
      </c>
      <c r="K37" t="s">
        <v>2710</v>
      </c>
      <c r="L37" t="s">
        <v>3658</v>
      </c>
      <c r="P37" t="s">
        <v>3337</v>
      </c>
    </row>
    <row r="38" spans="1:16" x14ac:dyDescent="0.35">
      <c r="A38" t="s">
        <v>2470</v>
      </c>
      <c r="B38" t="s">
        <v>293</v>
      </c>
      <c r="F38" t="s">
        <v>264</v>
      </c>
      <c r="G38" t="s">
        <v>425</v>
      </c>
      <c r="I38" t="s">
        <v>1267</v>
      </c>
      <c r="K38" t="s">
        <v>2850</v>
      </c>
      <c r="L38" t="s">
        <v>3692</v>
      </c>
      <c r="P38" t="s">
        <v>3219</v>
      </c>
    </row>
    <row r="39" spans="1:16" x14ac:dyDescent="0.35">
      <c r="A39" t="s">
        <v>2479</v>
      </c>
      <c r="B39" t="s">
        <v>294</v>
      </c>
      <c r="F39" t="s">
        <v>272</v>
      </c>
      <c r="G39" t="s">
        <v>426</v>
      </c>
      <c r="I39" t="s">
        <v>1303</v>
      </c>
      <c r="K39" t="s">
        <v>2921</v>
      </c>
      <c r="L39" t="s">
        <v>3715</v>
      </c>
      <c r="P39" t="s">
        <v>3219</v>
      </c>
    </row>
    <row r="40" spans="1:16" x14ac:dyDescent="0.35">
      <c r="A40" t="s">
        <v>2554</v>
      </c>
      <c r="B40" t="s">
        <v>297</v>
      </c>
      <c r="F40" t="s">
        <v>275</v>
      </c>
      <c r="G40" t="s">
        <v>431</v>
      </c>
      <c r="I40" t="s">
        <v>1311</v>
      </c>
      <c r="K40" t="s">
        <v>2969</v>
      </c>
      <c r="L40" t="s">
        <v>3728</v>
      </c>
      <c r="P40" t="s">
        <v>3219</v>
      </c>
    </row>
    <row r="41" spans="1:16" x14ac:dyDescent="0.35">
      <c r="A41" t="s">
        <v>2584</v>
      </c>
      <c r="B41" t="s">
        <v>303</v>
      </c>
      <c r="F41" t="s">
        <v>283</v>
      </c>
      <c r="G41" t="s">
        <v>437</v>
      </c>
      <c r="I41" t="s">
        <v>1350</v>
      </c>
      <c r="K41" t="s">
        <v>2999</v>
      </c>
      <c r="L41" t="s">
        <v>3752</v>
      </c>
      <c r="P41" t="s">
        <v>3219</v>
      </c>
    </row>
    <row r="42" spans="1:16" x14ac:dyDescent="0.35">
      <c r="A42" t="s">
        <v>2610</v>
      </c>
      <c r="B42" t="s">
        <v>314</v>
      </c>
      <c r="F42" t="s">
        <v>287</v>
      </c>
      <c r="G42" t="s">
        <v>438</v>
      </c>
      <c r="I42" t="s">
        <v>1404</v>
      </c>
      <c r="K42" t="s">
        <v>3043</v>
      </c>
      <c r="L42" t="s">
        <v>3768</v>
      </c>
      <c r="P42" t="s">
        <v>3219</v>
      </c>
    </row>
    <row r="43" spans="1:16" x14ac:dyDescent="0.35">
      <c r="A43" t="s">
        <v>2655</v>
      </c>
      <c r="B43" t="s">
        <v>317</v>
      </c>
      <c r="F43" t="s">
        <v>296</v>
      </c>
      <c r="G43" t="s">
        <v>443</v>
      </c>
      <c r="I43" t="s">
        <v>1435</v>
      </c>
      <c r="K43" t="s">
        <v>3053</v>
      </c>
      <c r="L43" t="s">
        <v>3789</v>
      </c>
      <c r="P43" t="s">
        <v>3219</v>
      </c>
    </row>
    <row r="44" spans="1:16" x14ac:dyDescent="0.35">
      <c r="A44" t="s">
        <v>2681</v>
      </c>
      <c r="B44" t="s">
        <v>321</v>
      </c>
      <c r="F44" t="s">
        <v>309</v>
      </c>
      <c r="G44" t="s">
        <v>446</v>
      </c>
      <c r="I44" t="s">
        <v>1464</v>
      </c>
      <c r="K44" t="s">
        <v>3057</v>
      </c>
      <c r="L44" t="s">
        <v>3806</v>
      </c>
      <c r="P44" t="s">
        <v>3219</v>
      </c>
    </row>
    <row r="45" spans="1:16" x14ac:dyDescent="0.35">
      <c r="A45" t="s">
        <v>2697</v>
      </c>
      <c r="B45" t="s">
        <v>338</v>
      </c>
      <c r="F45" t="s">
        <v>310</v>
      </c>
      <c r="G45" t="s">
        <v>454</v>
      </c>
      <c r="I45" t="s">
        <v>1500</v>
      </c>
      <c r="K45" t="s">
        <v>3349</v>
      </c>
      <c r="L45" t="s">
        <v>3940</v>
      </c>
      <c r="P45" t="s">
        <v>3219</v>
      </c>
    </row>
    <row r="46" spans="1:16" x14ac:dyDescent="0.35">
      <c r="A46" t="s">
        <v>2738</v>
      </c>
      <c r="B46" t="s">
        <v>348</v>
      </c>
      <c r="F46" t="s">
        <v>311</v>
      </c>
      <c r="G46" t="s">
        <v>460</v>
      </c>
      <c r="I46" t="s">
        <v>1518</v>
      </c>
      <c r="K46" t="s">
        <v>3386</v>
      </c>
      <c r="L46" t="s">
        <v>4008</v>
      </c>
      <c r="P46" t="s">
        <v>3219</v>
      </c>
    </row>
    <row r="47" spans="1:16" x14ac:dyDescent="0.35">
      <c r="A47" t="s">
        <v>2753</v>
      </c>
      <c r="B47" t="s">
        <v>355</v>
      </c>
      <c r="F47" t="s">
        <v>319</v>
      </c>
      <c r="G47" t="s">
        <v>469</v>
      </c>
      <c r="I47" t="s">
        <v>1634</v>
      </c>
      <c r="K47" t="s">
        <v>3513</v>
      </c>
      <c r="L47" t="s">
        <v>4026</v>
      </c>
      <c r="P47" t="s">
        <v>3219</v>
      </c>
    </row>
    <row r="48" spans="1:16" x14ac:dyDescent="0.35">
      <c r="A48" t="s">
        <v>2768</v>
      </c>
      <c r="B48" t="s">
        <v>365</v>
      </c>
      <c r="F48" t="s">
        <v>320</v>
      </c>
      <c r="G48" t="s">
        <v>472</v>
      </c>
      <c r="I48" t="s">
        <v>1668</v>
      </c>
      <c r="K48" t="s">
        <v>3566</v>
      </c>
      <c r="L48" t="s">
        <v>4080</v>
      </c>
      <c r="P48" t="s">
        <v>3219</v>
      </c>
    </row>
    <row r="49" spans="1:16" x14ac:dyDescent="0.35">
      <c r="A49" t="s">
        <v>2810</v>
      </c>
      <c r="B49" t="s">
        <v>374</v>
      </c>
      <c r="F49" t="s">
        <v>322</v>
      </c>
      <c r="G49" t="s">
        <v>481</v>
      </c>
      <c r="I49" t="s">
        <v>1679</v>
      </c>
      <c r="K49" t="s">
        <v>3610</v>
      </c>
      <c r="L49" t="s">
        <v>4092</v>
      </c>
      <c r="P49" t="s">
        <v>3219</v>
      </c>
    </row>
    <row r="50" spans="1:16" x14ac:dyDescent="0.35">
      <c r="A50" t="s">
        <v>2830</v>
      </c>
      <c r="B50" t="s">
        <v>384</v>
      </c>
      <c r="F50" t="s">
        <v>356</v>
      </c>
      <c r="G50" t="s">
        <v>486</v>
      </c>
      <c r="I50" t="s">
        <v>1718</v>
      </c>
      <c r="K50" t="s">
        <v>3663</v>
      </c>
      <c r="L50" t="s">
        <v>4095</v>
      </c>
      <c r="P50" t="s">
        <v>3350</v>
      </c>
    </row>
    <row r="51" spans="1:16" x14ac:dyDescent="0.35">
      <c r="A51" t="s">
        <v>2848</v>
      </c>
      <c r="B51" t="s">
        <v>387</v>
      </c>
      <c r="F51" t="s">
        <v>359</v>
      </c>
      <c r="G51" t="s">
        <v>491</v>
      </c>
      <c r="I51" t="s">
        <v>1772</v>
      </c>
      <c r="K51" t="s">
        <v>3722</v>
      </c>
      <c r="P51" t="s">
        <v>3219</v>
      </c>
    </row>
    <row r="52" spans="1:16" x14ac:dyDescent="0.35">
      <c r="A52" t="s">
        <v>2901</v>
      </c>
      <c r="B52" t="s">
        <v>391</v>
      </c>
      <c r="F52" t="s">
        <v>362</v>
      </c>
      <c r="G52" t="s">
        <v>498</v>
      </c>
      <c r="I52" t="s">
        <v>1881</v>
      </c>
      <c r="K52" t="s">
        <v>3753</v>
      </c>
      <c r="P52" t="s">
        <v>3219</v>
      </c>
    </row>
    <row r="53" spans="1:16" x14ac:dyDescent="0.35">
      <c r="A53" t="s">
        <v>2979</v>
      </c>
      <c r="B53" t="s">
        <v>402</v>
      </c>
      <c r="F53" t="s">
        <v>371</v>
      </c>
      <c r="G53" t="s">
        <v>502</v>
      </c>
      <c r="I53" t="s">
        <v>1908</v>
      </c>
      <c r="K53" t="s">
        <v>4015</v>
      </c>
      <c r="P53" t="s">
        <v>3219</v>
      </c>
    </row>
    <row r="54" spans="1:16" x14ac:dyDescent="0.35">
      <c r="A54" t="s">
        <v>3003</v>
      </c>
      <c r="B54" t="s">
        <v>424</v>
      </c>
      <c r="F54" t="s">
        <v>381</v>
      </c>
      <c r="G54" t="s">
        <v>505</v>
      </c>
      <c r="I54" t="s">
        <v>1928</v>
      </c>
      <c r="K54" t="s">
        <v>4170</v>
      </c>
      <c r="P54" t="s">
        <v>3219</v>
      </c>
    </row>
    <row r="55" spans="1:16" x14ac:dyDescent="0.35">
      <c r="A55" t="s">
        <v>3023</v>
      </c>
      <c r="B55" t="s">
        <v>442</v>
      </c>
      <c r="F55" t="s">
        <v>397</v>
      </c>
      <c r="G55" t="s">
        <v>511</v>
      </c>
      <c r="I55" t="s">
        <v>1952</v>
      </c>
      <c r="P55" t="s">
        <v>3219</v>
      </c>
    </row>
    <row r="56" spans="1:16" x14ac:dyDescent="0.35">
      <c r="A56" t="s">
        <v>3042</v>
      </c>
      <c r="B56" t="s">
        <v>458</v>
      </c>
      <c r="F56" t="s">
        <v>406</v>
      </c>
      <c r="G56" t="s">
        <v>518</v>
      </c>
      <c r="I56" t="s">
        <v>2014</v>
      </c>
      <c r="P56" t="s">
        <v>3219</v>
      </c>
    </row>
    <row r="57" spans="1:16" x14ac:dyDescent="0.35">
      <c r="A57" t="s">
        <v>3352</v>
      </c>
      <c r="B57" t="s">
        <v>459</v>
      </c>
      <c r="F57" t="s">
        <v>407</v>
      </c>
      <c r="G57" t="s">
        <v>522</v>
      </c>
      <c r="I57" t="s">
        <v>2070</v>
      </c>
      <c r="P57" t="s">
        <v>3219</v>
      </c>
    </row>
    <row r="58" spans="1:16" x14ac:dyDescent="0.35">
      <c r="A58" t="s">
        <v>3941</v>
      </c>
      <c r="B58" t="s">
        <v>479</v>
      </c>
      <c r="F58" t="s">
        <v>411</v>
      </c>
      <c r="G58" t="s">
        <v>524</v>
      </c>
      <c r="I58" t="s">
        <v>2166</v>
      </c>
      <c r="P58" t="s">
        <v>3261</v>
      </c>
    </row>
    <row r="59" spans="1:16" x14ac:dyDescent="0.35">
      <c r="A59" t="s">
        <v>4061</v>
      </c>
      <c r="B59" t="s">
        <v>489</v>
      </c>
      <c r="F59" t="s">
        <v>416</v>
      </c>
      <c r="G59" t="s">
        <v>527</v>
      </c>
      <c r="I59" t="s">
        <v>2456</v>
      </c>
      <c r="P59" t="s">
        <v>3261</v>
      </c>
    </row>
    <row r="60" spans="1:16" x14ac:dyDescent="0.35">
      <c r="B60" t="s">
        <v>496</v>
      </c>
      <c r="F60" t="s">
        <v>419</v>
      </c>
      <c r="G60" t="s">
        <v>541</v>
      </c>
      <c r="I60" t="s">
        <v>2548</v>
      </c>
      <c r="P60" t="s">
        <v>3261</v>
      </c>
    </row>
    <row r="61" spans="1:16" x14ac:dyDescent="0.35">
      <c r="B61" t="s">
        <v>497</v>
      </c>
      <c r="F61" t="s">
        <v>421</v>
      </c>
      <c r="G61" t="s">
        <v>547</v>
      </c>
      <c r="I61" t="s">
        <v>2689</v>
      </c>
      <c r="P61" t="s">
        <v>3261</v>
      </c>
    </row>
    <row r="62" spans="1:16" x14ac:dyDescent="0.35">
      <c r="B62" t="s">
        <v>514</v>
      </c>
      <c r="F62" t="s">
        <v>434</v>
      </c>
      <c r="G62" t="s">
        <v>553</v>
      </c>
      <c r="I62" t="s">
        <v>2775</v>
      </c>
      <c r="P62" t="s">
        <v>3261</v>
      </c>
    </row>
    <row r="63" spans="1:16" x14ac:dyDescent="0.35">
      <c r="B63" t="s">
        <v>515</v>
      </c>
      <c r="F63" t="s">
        <v>441</v>
      </c>
      <c r="G63" t="s">
        <v>555</v>
      </c>
      <c r="I63" t="s">
        <v>2803</v>
      </c>
      <c r="P63" t="s">
        <v>3657</v>
      </c>
    </row>
    <row r="64" spans="1:16" x14ac:dyDescent="0.35">
      <c r="B64" t="s">
        <v>531</v>
      </c>
      <c r="F64" t="s">
        <v>449</v>
      </c>
      <c r="G64" t="s">
        <v>561</v>
      </c>
      <c r="I64" t="s">
        <v>2872</v>
      </c>
      <c r="P64" t="s">
        <v>3674</v>
      </c>
    </row>
    <row r="65" spans="2:16" x14ac:dyDescent="0.35">
      <c r="B65" t="s">
        <v>533</v>
      </c>
      <c r="F65" t="s">
        <v>451</v>
      </c>
      <c r="G65" t="s">
        <v>566</v>
      </c>
      <c r="I65" t="s">
        <v>2933</v>
      </c>
      <c r="P65" t="s">
        <v>3689</v>
      </c>
    </row>
    <row r="66" spans="2:16" x14ac:dyDescent="0.35">
      <c r="B66" t="s">
        <v>550</v>
      </c>
      <c r="F66" t="s">
        <v>457</v>
      </c>
      <c r="G66" t="s">
        <v>569</v>
      </c>
      <c r="I66" t="s">
        <v>2959</v>
      </c>
      <c r="P66" t="s">
        <v>3698</v>
      </c>
    </row>
    <row r="67" spans="2:16" x14ac:dyDescent="0.35">
      <c r="B67" t="s">
        <v>559</v>
      </c>
      <c r="F67" t="s">
        <v>466</v>
      </c>
      <c r="G67" t="s">
        <v>579</v>
      </c>
      <c r="I67" t="s">
        <v>3126</v>
      </c>
      <c r="P67" t="s">
        <v>3337</v>
      </c>
    </row>
    <row r="68" spans="2:16" x14ac:dyDescent="0.35">
      <c r="B68" t="s">
        <v>560</v>
      </c>
      <c r="F68" t="s">
        <v>476</v>
      </c>
      <c r="G68" t="s">
        <v>586</v>
      </c>
      <c r="I68" t="s">
        <v>3133</v>
      </c>
      <c r="P68" t="s">
        <v>3219</v>
      </c>
    </row>
    <row r="69" spans="2:16" x14ac:dyDescent="0.35">
      <c r="B69" t="s">
        <v>573</v>
      </c>
      <c r="F69" t="s">
        <v>478</v>
      </c>
      <c r="G69" t="s">
        <v>592</v>
      </c>
      <c r="I69" t="s">
        <v>3148</v>
      </c>
      <c r="P69" t="s">
        <v>3219</v>
      </c>
    </row>
    <row r="70" spans="2:16" x14ac:dyDescent="0.35">
      <c r="B70" t="s">
        <v>583</v>
      </c>
      <c r="F70" t="s">
        <v>494</v>
      </c>
      <c r="G70" t="s">
        <v>610</v>
      </c>
      <c r="I70" t="s">
        <v>3154</v>
      </c>
      <c r="P70" t="s">
        <v>3219</v>
      </c>
    </row>
    <row r="71" spans="2:16" x14ac:dyDescent="0.35">
      <c r="B71" t="s">
        <v>589</v>
      </c>
      <c r="F71" t="s">
        <v>495</v>
      </c>
      <c r="G71" t="s">
        <v>614</v>
      </c>
      <c r="I71" t="s">
        <v>3180</v>
      </c>
      <c r="P71" t="s">
        <v>3219</v>
      </c>
    </row>
    <row r="72" spans="2:16" x14ac:dyDescent="0.35">
      <c r="B72" t="s">
        <v>596</v>
      </c>
      <c r="F72" t="s">
        <v>501</v>
      </c>
      <c r="G72" t="s">
        <v>620</v>
      </c>
      <c r="I72" t="s">
        <v>3201</v>
      </c>
      <c r="P72" t="s">
        <v>3219</v>
      </c>
    </row>
    <row r="73" spans="2:16" x14ac:dyDescent="0.35">
      <c r="B73" t="s">
        <v>600</v>
      </c>
      <c r="F73" t="s">
        <v>506</v>
      </c>
      <c r="G73" t="s">
        <v>630</v>
      </c>
      <c r="I73" t="s">
        <v>3148</v>
      </c>
      <c r="P73" t="s">
        <v>3261</v>
      </c>
    </row>
    <row r="74" spans="2:16" x14ac:dyDescent="0.35">
      <c r="B74" t="s">
        <v>603</v>
      </c>
      <c r="F74" t="s">
        <v>509</v>
      </c>
      <c r="G74" t="s">
        <v>637</v>
      </c>
      <c r="I74" t="s">
        <v>3243</v>
      </c>
      <c r="P74" t="s">
        <v>3261</v>
      </c>
    </row>
    <row r="75" spans="2:16" x14ac:dyDescent="0.35">
      <c r="B75" t="s">
        <v>606</v>
      </c>
      <c r="F75" t="s">
        <v>510</v>
      </c>
      <c r="G75" t="s">
        <v>644</v>
      </c>
      <c r="I75" t="s">
        <v>3244</v>
      </c>
      <c r="P75" t="s">
        <v>3261</v>
      </c>
    </row>
    <row r="76" spans="2:16" x14ac:dyDescent="0.35">
      <c r="B76" t="s">
        <v>613</v>
      </c>
      <c r="F76" t="s">
        <v>516</v>
      </c>
      <c r="G76" t="s">
        <v>652</v>
      </c>
      <c r="I76" t="s">
        <v>3249</v>
      </c>
      <c r="P76" t="s">
        <v>3261</v>
      </c>
    </row>
    <row r="77" spans="2:16" x14ac:dyDescent="0.35">
      <c r="B77" t="s">
        <v>619</v>
      </c>
      <c r="F77" t="s">
        <v>556</v>
      </c>
      <c r="G77" t="s">
        <v>666</v>
      </c>
      <c r="I77" t="s">
        <v>3244</v>
      </c>
      <c r="P77" t="s">
        <v>3261</v>
      </c>
    </row>
    <row r="78" spans="2:16" x14ac:dyDescent="0.35">
      <c r="B78" t="s">
        <v>626</v>
      </c>
      <c r="F78" t="s">
        <v>564</v>
      </c>
      <c r="G78" t="s">
        <v>673</v>
      </c>
      <c r="I78" t="s">
        <v>3282</v>
      </c>
      <c r="P78" t="s">
        <v>3219</v>
      </c>
    </row>
    <row r="79" spans="2:16" x14ac:dyDescent="0.35">
      <c r="B79" t="s">
        <v>640</v>
      </c>
      <c r="F79" t="s">
        <v>565</v>
      </c>
      <c r="G79" t="s">
        <v>676</v>
      </c>
      <c r="I79" t="s">
        <v>3133</v>
      </c>
      <c r="P79" t="s">
        <v>3219</v>
      </c>
    </row>
    <row r="80" spans="2:16" x14ac:dyDescent="0.35">
      <c r="B80" t="s">
        <v>641</v>
      </c>
      <c r="F80" t="s">
        <v>575</v>
      </c>
      <c r="G80" t="s">
        <v>689</v>
      </c>
      <c r="I80" t="s">
        <v>3320</v>
      </c>
      <c r="P80" t="s">
        <v>3219</v>
      </c>
    </row>
    <row r="81" spans="2:16" x14ac:dyDescent="0.35">
      <c r="B81" t="s">
        <v>649</v>
      </c>
      <c r="F81" t="s">
        <v>582</v>
      </c>
      <c r="G81" t="s">
        <v>696</v>
      </c>
      <c r="I81" t="s">
        <v>3325</v>
      </c>
      <c r="P81" t="s">
        <v>3219</v>
      </c>
    </row>
    <row r="82" spans="2:16" x14ac:dyDescent="0.35">
      <c r="B82" t="s">
        <v>660</v>
      </c>
      <c r="F82" t="s">
        <v>597</v>
      </c>
      <c r="G82" t="s">
        <v>701</v>
      </c>
      <c r="I82" t="s">
        <v>3133</v>
      </c>
      <c r="P82" t="s">
        <v>3219</v>
      </c>
    </row>
    <row r="83" spans="2:16" x14ac:dyDescent="0.35">
      <c r="B83" t="s">
        <v>665</v>
      </c>
      <c r="F83" t="s">
        <v>607</v>
      </c>
      <c r="G83" t="s">
        <v>710</v>
      </c>
      <c r="I83" t="s">
        <v>3359</v>
      </c>
      <c r="P83" t="s">
        <v>3837</v>
      </c>
    </row>
    <row r="84" spans="2:16" x14ac:dyDescent="0.35">
      <c r="B84" t="s">
        <v>682</v>
      </c>
      <c r="F84" t="s">
        <v>623</v>
      </c>
      <c r="G84" t="s">
        <v>713</v>
      </c>
      <c r="I84" t="s">
        <v>3363</v>
      </c>
      <c r="P84" t="s">
        <v>3850</v>
      </c>
    </row>
    <row r="85" spans="2:16" x14ac:dyDescent="0.35">
      <c r="B85" t="s">
        <v>683</v>
      </c>
      <c r="F85" t="s">
        <v>634</v>
      </c>
      <c r="G85" t="s">
        <v>720</v>
      </c>
      <c r="I85" t="s">
        <v>3404</v>
      </c>
      <c r="P85" t="s">
        <v>3350</v>
      </c>
    </row>
    <row r="86" spans="2:16" x14ac:dyDescent="0.35">
      <c r="B86" t="s">
        <v>692</v>
      </c>
      <c r="F86" t="s">
        <v>647</v>
      </c>
      <c r="G86" t="s">
        <v>724</v>
      </c>
      <c r="I86" t="s">
        <v>3431</v>
      </c>
      <c r="P86" t="s">
        <v>3143</v>
      </c>
    </row>
    <row r="87" spans="2:16" x14ac:dyDescent="0.35">
      <c r="B87" t="s">
        <v>700</v>
      </c>
      <c r="F87" t="s">
        <v>654</v>
      </c>
      <c r="G87" t="s">
        <v>727</v>
      </c>
      <c r="I87" t="s">
        <v>3431</v>
      </c>
      <c r="P87" t="s">
        <v>3219</v>
      </c>
    </row>
    <row r="88" spans="2:16" x14ac:dyDescent="0.35">
      <c r="B88" t="s">
        <v>709</v>
      </c>
      <c r="F88" t="s">
        <v>657</v>
      </c>
      <c r="G88" t="s">
        <v>745</v>
      </c>
      <c r="I88" t="s">
        <v>3448</v>
      </c>
      <c r="P88" t="s">
        <v>3350</v>
      </c>
    </row>
    <row r="89" spans="2:16" x14ac:dyDescent="0.35">
      <c r="B89" t="s">
        <v>723</v>
      </c>
      <c r="F89" t="s">
        <v>661</v>
      </c>
      <c r="G89" t="s">
        <v>752</v>
      </c>
      <c r="I89" t="s">
        <v>3482</v>
      </c>
      <c r="P89" t="s">
        <v>3350</v>
      </c>
    </row>
    <row r="90" spans="2:16" x14ac:dyDescent="0.35">
      <c r="B90" t="s">
        <v>733</v>
      </c>
      <c r="F90" t="s">
        <v>669</v>
      </c>
      <c r="G90" t="s">
        <v>755</v>
      </c>
      <c r="I90" t="s">
        <v>3493</v>
      </c>
      <c r="P90" t="s">
        <v>3905</v>
      </c>
    </row>
    <row r="91" spans="2:16" x14ac:dyDescent="0.35">
      <c r="B91" t="s">
        <v>736</v>
      </c>
      <c r="F91" t="s">
        <v>679</v>
      </c>
      <c r="G91" t="s">
        <v>765</v>
      </c>
      <c r="I91" t="s">
        <v>3493</v>
      </c>
      <c r="P91" t="s">
        <v>3905</v>
      </c>
    </row>
    <row r="92" spans="2:16" x14ac:dyDescent="0.35">
      <c r="B92" t="s">
        <v>748</v>
      </c>
      <c r="F92" t="s">
        <v>686</v>
      </c>
      <c r="G92" t="s">
        <v>777</v>
      </c>
      <c r="I92" t="s">
        <v>3553</v>
      </c>
      <c r="P92" t="s">
        <v>3905</v>
      </c>
    </row>
    <row r="93" spans="2:16" x14ac:dyDescent="0.35">
      <c r="B93" t="s">
        <v>749</v>
      </c>
      <c r="F93" t="s">
        <v>693</v>
      </c>
      <c r="G93" t="s">
        <v>783</v>
      </c>
      <c r="I93" t="s">
        <v>3638</v>
      </c>
      <c r="P93" t="s">
        <v>3905</v>
      </c>
    </row>
    <row r="94" spans="2:16" x14ac:dyDescent="0.35">
      <c r="B94" t="s">
        <v>758</v>
      </c>
      <c r="F94" t="s">
        <v>704</v>
      </c>
      <c r="G94" t="s">
        <v>791</v>
      </c>
      <c r="I94" t="s">
        <v>3675</v>
      </c>
      <c r="P94" t="s">
        <v>3905</v>
      </c>
    </row>
    <row r="95" spans="2:16" x14ac:dyDescent="0.35">
      <c r="B95" t="s">
        <v>762</v>
      </c>
      <c r="F95" t="s">
        <v>717</v>
      </c>
      <c r="G95" t="s">
        <v>796</v>
      </c>
      <c r="I95" t="s">
        <v>3706</v>
      </c>
      <c r="P95" t="s">
        <v>3905</v>
      </c>
    </row>
    <row r="96" spans="2:16" x14ac:dyDescent="0.35">
      <c r="B96" t="s">
        <v>774</v>
      </c>
      <c r="F96" t="s">
        <v>730</v>
      </c>
      <c r="G96" t="s">
        <v>807</v>
      </c>
      <c r="I96" t="s">
        <v>3737</v>
      </c>
      <c r="P96" t="s">
        <v>3905</v>
      </c>
    </row>
    <row r="97" spans="2:16" x14ac:dyDescent="0.35">
      <c r="B97" t="s">
        <v>780</v>
      </c>
      <c r="F97" t="s">
        <v>737</v>
      </c>
      <c r="G97" t="s">
        <v>810</v>
      </c>
      <c r="I97" t="s">
        <v>3815</v>
      </c>
      <c r="P97" t="s">
        <v>3905</v>
      </c>
    </row>
    <row r="98" spans="2:16" x14ac:dyDescent="0.35">
      <c r="B98" t="s">
        <v>790</v>
      </c>
      <c r="F98" t="s">
        <v>738</v>
      </c>
      <c r="G98" t="s">
        <v>819</v>
      </c>
      <c r="I98" t="s">
        <v>3133</v>
      </c>
      <c r="P98" t="s">
        <v>3219</v>
      </c>
    </row>
    <row r="99" spans="2:16" x14ac:dyDescent="0.35">
      <c r="B99" t="s">
        <v>794</v>
      </c>
      <c r="F99" t="s">
        <v>741</v>
      </c>
      <c r="G99" t="s">
        <v>820</v>
      </c>
      <c r="I99" t="s">
        <v>3946</v>
      </c>
      <c r="P99" t="s">
        <v>3837</v>
      </c>
    </row>
    <row r="100" spans="2:16" x14ac:dyDescent="0.35">
      <c r="B100" t="s">
        <v>799</v>
      </c>
      <c r="F100" t="s">
        <v>761</v>
      </c>
      <c r="G100" t="s">
        <v>827</v>
      </c>
      <c r="I100" t="s">
        <v>3133</v>
      </c>
      <c r="P100" t="s">
        <v>3837</v>
      </c>
    </row>
    <row r="101" spans="2:16" x14ac:dyDescent="0.35">
      <c r="B101" t="s">
        <v>800</v>
      </c>
      <c r="F101" t="s">
        <v>767</v>
      </c>
      <c r="G101" t="s">
        <v>833</v>
      </c>
      <c r="I101" t="s">
        <v>4140</v>
      </c>
      <c r="P101" t="s">
        <v>3837</v>
      </c>
    </row>
    <row r="102" spans="2:16" x14ac:dyDescent="0.35">
      <c r="B102" t="s">
        <v>801</v>
      </c>
      <c r="F102" t="s">
        <v>770</v>
      </c>
      <c r="G102" t="s">
        <v>839</v>
      </c>
      <c r="I102" t="s">
        <v>4185</v>
      </c>
      <c r="P102" t="s">
        <v>3219</v>
      </c>
    </row>
    <row r="103" spans="2:16" x14ac:dyDescent="0.35">
      <c r="B103" t="s">
        <v>802</v>
      </c>
      <c r="F103" t="s">
        <v>785</v>
      </c>
      <c r="G103" t="s">
        <v>851</v>
      </c>
      <c r="P103" t="s">
        <v>3219</v>
      </c>
    </row>
    <row r="104" spans="2:16" x14ac:dyDescent="0.35">
      <c r="B104" t="s">
        <v>813</v>
      </c>
      <c r="F104" t="s">
        <v>788</v>
      </c>
      <c r="G104" t="s">
        <v>857</v>
      </c>
      <c r="P104" t="s">
        <v>3219</v>
      </c>
    </row>
    <row r="105" spans="2:16" x14ac:dyDescent="0.35">
      <c r="B105" t="s">
        <v>822</v>
      </c>
      <c r="F105" t="s">
        <v>789</v>
      </c>
      <c r="G105" t="s">
        <v>858</v>
      </c>
      <c r="P105" t="s">
        <v>3219</v>
      </c>
    </row>
    <row r="106" spans="2:16" x14ac:dyDescent="0.35">
      <c r="B106" t="s">
        <v>830</v>
      </c>
      <c r="F106" t="s">
        <v>795</v>
      </c>
      <c r="G106" t="s">
        <v>861</v>
      </c>
      <c r="P106" t="s">
        <v>3219</v>
      </c>
    </row>
    <row r="107" spans="2:16" x14ac:dyDescent="0.35">
      <c r="B107" t="s">
        <v>835</v>
      </c>
      <c r="F107" t="s">
        <v>803</v>
      </c>
      <c r="G107" t="s">
        <v>865</v>
      </c>
      <c r="P107" t="s">
        <v>3219</v>
      </c>
    </row>
    <row r="108" spans="2:16" x14ac:dyDescent="0.35">
      <c r="B108" t="s">
        <v>843</v>
      </c>
      <c r="F108" t="s">
        <v>804</v>
      </c>
      <c r="G108" t="s">
        <v>905</v>
      </c>
      <c r="P108" t="s">
        <v>3837</v>
      </c>
    </row>
    <row r="109" spans="2:16" x14ac:dyDescent="0.35">
      <c r="B109" t="s">
        <v>847</v>
      </c>
      <c r="F109" t="s">
        <v>816</v>
      </c>
      <c r="G109" t="s">
        <v>908</v>
      </c>
      <c r="P109" t="s">
        <v>3837</v>
      </c>
    </row>
    <row r="110" spans="2:16" x14ac:dyDescent="0.35">
      <c r="B110" t="s">
        <v>850</v>
      </c>
      <c r="F110" t="s">
        <v>834</v>
      </c>
      <c r="G110" t="s">
        <v>915</v>
      </c>
      <c r="P110" t="s">
        <v>3837</v>
      </c>
    </row>
    <row r="111" spans="2:16" x14ac:dyDescent="0.35">
      <c r="B111" t="s">
        <v>854</v>
      </c>
      <c r="F111" t="s">
        <v>844</v>
      </c>
      <c r="G111" t="s">
        <v>926</v>
      </c>
      <c r="P111" t="s">
        <v>3837</v>
      </c>
    </row>
    <row r="112" spans="2:16" x14ac:dyDescent="0.35">
      <c r="B112" t="s">
        <v>891</v>
      </c>
      <c r="F112" t="s">
        <v>855</v>
      </c>
      <c r="G112" t="s">
        <v>936</v>
      </c>
      <c r="P112" t="s">
        <v>3837</v>
      </c>
    </row>
    <row r="113" spans="2:16" x14ac:dyDescent="0.35">
      <c r="B113" t="s">
        <v>897</v>
      </c>
      <c r="F113" t="s">
        <v>856</v>
      </c>
      <c r="G113" t="s">
        <v>940</v>
      </c>
      <c r="P113" t="s">
        <v>3219</v>
      </c>
    </row>
    <row r="114" spans="2:16" x14ac:dyDescent="0.35">
      <c r="B114" t="s">
        <v>903</v>
      </c>
      <c r="F114" t="s">
        <v>864</v>
      </c>
      <c r="G114" t="s">
        <v>943</v>
      </c>
      <c r="P114" t="s">
        <v>3219</v>
      </c>
    </row>
    <row r="115" spans="2:16" x14ac:dyDescent="0.35">
      <c r="B115" t="s">
        <v>911</v>
      </c>
      <c r="F115" t="s">
        <v>868</v>
      </c>
      <c r="G115" t="s">
        <v>950</v>
      </c>
      <c r="P115" t="s">
        <v>3219</v>
      </c>
    </row>
    <row r="116" spans="2:16" x14ac:dyDescent="0.35">
      <c r="B116" t="s">
        <v>918</v>
      </c>
      <c r="F116" t="s">
        <v>869</v>
      </c>
      <c r="G116" t="s">
        <v>960</v>
      </c>
      <c r="P116" t="s">
        <v>3219</v>
      </c>
    </row>
    <row r="117" spans="2:16" x14ac:dyDescent="0.35">
      <c r="B117" t="s">
        <v>922</v>
      </c>
      <c r="F117" t="s">
        <v>871</v>
      </c>
      <c r="G117" t="s">
        <v>970</v>
      </c>
      <c r="P117" t="s">
        <v>3219</v>
      </c>
    </row>
    <row r="118" spans="2:16" x14ac:dyDescent="0.35">
      <c r="B118" t="s">
        <v>929</v>
      </c>
      <c r="F118" t="s">
        <v>874</v>
      </c>
      <c r="G118" t="s">
        <v>974</v>
      </c>
      <c r="P118" t="s">
        <v>4123</v>
      </c>
    </row>
    <row r="119" spans="2:16" x14ac:dyDescent="0.35">
      <c r="B119" t="s">
        <v>932</v>
      </c>
      <c r="F119" t="s">
        <v>875</v>
      </c>
      <c r="G119" t="s">
        <v>978</v>
      </c>
      <c r="P119" t="s">
        <v>3091</v>
      </c>
    </row>
    <row r="120" spans="2:16" x14ac:dyDescent="0.35">
      <c r="B120" t="s">
        <v>935</v>
      </c>
      <c r="F120" t="s">
        <v>877</v>
      </c>
      <c r="G120" t="s">
        <v>982</v>
      </c>
      <c r="P120" t="s">
        <v>4123</v>
      </c>
    </row>
    <row r="121" spans="2:16" x14ac:dyDescent="0.35">
      <c r="B121" t="s">
        <v>946</v>
      </c>
      <c r="F121" t="s">
        <v>878</v>
      </c>
      <c r="G121" t="s">
        <v>985</v>
      </c>
      <c r="P121" t="s">
        <v>4123</v>
      </c>
    </row>
    <row r="122" spans="2:16" x14ac:dyDescent="0.35">
      <c r="B122" t="s">
        <v>953</v>
      </c>
      <c r="F122" t="s">
        <v>879</v>
      </c>
      <c r="G122" t="s">
        <v>992</v>
      </c>
      <c r="P122" t="s">
        <v>3091</v>
      </c>
    </row>
    <row r="123" spans="2:16" x14ac:dyDescent="0.35">
      <c r="B123" t="s">
        <v>957</v>
      </c>
      <c r="F123" t="s">
        <v>882</v>
      </c>
      <c r="G123" t="s">
        <v>999</v>
      </c>
      <c r="P123" t="s">
        <v>3350</v>
      </c>
    </row>
    <row r="124" spans="2:16" x14ac:dyDescent="0.35">
      <c r="B124" t="s">
        <v>963</v>
      </c>
      <c r="F124" t="s">
        <v>884</v>
      </c>
      <c r="G124" t="s">
        <v>1009</v>
      </c>
      <c r="P124" t="s">
        <v>3350</v>
      </c>
    </row>
    <row r="125" spans="2:16" x14ac:dyDescent="0.35">
      <c r="B125" t="s">
        <v>981</v>
      </c>
      <c r="F125" t="s">
        <v>885</v>
      </c>
      <c r="G125" t="s">
        <v>1020</v>
      </c>
      <c r="P125" t="s">
        <v>3350</v>
      </c>
    </row>
    <row r="126" spans="2:16" x14ac:dyDescent="0.35">
      <c r="B126" t="s">
        <v>995</v>
      </c>
      <c r="F126" t="s">
        <v>889</v>
      </c>
      <c r="G126" t="s">
        <v>1022</v>
      </c>
      <c r="P126" t="s">
        <v>3350</v>
      </c>
    </row>
    <row r="127" spans="2:16" x14ac:dyDescent="0.35">
      <c r="B127" t="s">
        <v>1012</v>
      </c>
      <c r="F127" t="s">
        <v>890</v>
      </c>
      <c r="G127" t="s">
        <v>1025</v>
      </c>
      <c r="P127" t="s">
        <v>3350</v>
      </c>
    </row>
    <row r="128" spans="2:16" x14ac:dyDescent="0.35">
      <c r="B128" t="s">
        <v>1016</v>
      </c>
      <c r="F128" t="s">
        <v>865</v>
      </c>
      <c r="G128" t="s">
        <v>1034</v>
      </c>
    </row>
    <row r="129" spans="2:7" x14ac:dyDescent="0.35">
      <c r="B129" t="s">
        <v>1017</v>
      </c>
      <c r="F129" t="s">
        <v>894</v>
      </c>
      <c r="G129" t="s">
        <v>1048</v>
      </c>
    </row>
    <row r="130" spans="2:7" x14ac:dyDescent="0.35">
      <c r="B130" t="s">
        <v>1028</v>
      </c>
      <c r="F130" t="s">
        <v>902</v>
      </c>
      <c r="G130" t="s">
        <v>1055</v>
      </c>
    </row>
    <row r="131" spans="2:7" x14ac:dyDescent="0.35">
      <c r="B131" t="s">
        <v>1038</v>
      </c>
      <c r="F131" t="s">
        <v>904</v>
      </c>
      <c r="G131" t="s">
        <v>1059</v>
      </c>
    </row>
    <row r="132" spans="2:7" x14ac:dyDescent="0.35">
      <c r="B132" t="s">
        <v>1040</v>
      </c>
      <c r="F132" t="s">
        <v>921</v>
      </c>
      <c r="G132" t="s">
        <v>1072</v>
      </c>
    </row>
    <row r="133" spans="2:7" x14ac:dyDescent="0.35">
      <c r="B133" t="s">
        <v>1041</v>
      </c>
      <c r="F133" t="s">
        <v>923</v>
      </c>
      <c r="G133" t="s">
        <v>1080</v>
      </c>
    </row>
    <row r="134" spans="2:7" x14ac:dyDescent="0.35">
      <c r="B134" t="s">
        <v>1042</v>
      </c>
      <c r="F134" t="s">
        <v>947</v>
      </c>
      <c r="G134" t="s">
        <v>1084</v>
      </c>
    </row>
    <row r="135" spans="2:7" x14ac:dyDescent="0.35">
      <c r="B135" t="s">
        <v>1051</v>
      </c>
      <c r="F135" t="s">
        <v>954</v>
      </c>
      <c r="G135" t="s">
        <v>1110</v>
      </c>
    </row>
    <row r="136" spans="2:7" x14ac:dyDescent="0.35">
      <c r="B136" t="s">
        <v>1062</v>
      </c>
      <c r="F136" t="s">
        <v>967</v>
      </c>
      <c r="G136" t="s">
        <v>1118</v>
      </c>
    </row>
    <row r="137" spans="2:7" x14ac:dyDescent="0.35">
      <c r="B137" t="s">
        <v>1069</v>
      </c>
      <c r="F137" t="s">
        <v>988</v>
      </c>
      <c r="G137" t="s">
        <v>1121</v>
      </c>
    </row>
    <row r="138" spans="2:7" x14ac:dyDescent="0.35">
      <c r="B138" t="s">
        <v>1071</v>
      </c>
      <c r="F138" t="s">
        <v>989</v>
      </c>
      <c r="G138" t="s">
        <v>1130</v>
      </c>
    </row>
    <row r="139" spans="2:7" x14ac:dyDescent="0.35">
      <c r="B139" t="s">
        <v>1083</v>
      </c>
      <c r="F139" t="s">
        <v>996</v>
      </c>
      <c r="G139" t="s">
        <v>1138</v>
      </c>
    </row>
    <row r="140" spans="2:7" x14ac:dyDescent="0.35">
      <c r="B140" t="s">
        <v>1089</v>
      </c>
      <c r="F140" t="s">
        <v>1003</v>
      </c>
      <c r="G140" t="s">
        <v>1155</v>
      </c>
    </row>
    <row r="141" spans="2:7" x14ac:dyDescent="0.35">
      <c r="B141" t="s">
        <v>1094</v>
      </c>
      <c r="F141" t="s">
        <v>1006</v>
      </c>
      <c r="G141" t="s">
        <v>1163</v>
      </c>
    </row>
    <row r="142" spans="2:7" x14ac:dyDescent="0.35">
      <c r="B142" t="s">
        <v>1102</v>
      </c>
      <c r="F142" t="s">
        <v>1021</v>
      </c>
      <c r="G142" t="s">
        <v>1166</v>
      </c>
    </row>
    <row r="143" spans="2:7" x14ac:dyDescent="0.35">
      <c r="B143" t="s">
        <v>1107</v>
      </c>
      <c r="F143" t="s">
        <v>1031</v>
      </c>
      <c r="G143" t="s">
        <v>1178</v>
      </c>
    </row>
    <row r="144" spans="2:7" x14ac:dyDescent="0.35">
      <c r="B144" t="s">
        <v>1112</v>
      </c>
      <c r="F144" t="s">
        <v>1037</v>
      </c>
      <c r="G144" t="s">
        <v>1179</v>
      </c>
    </row>
    <row r="145" spans="2:7" x14ac:dyDescent="0.35">
      <c r="B145" t="s">
        <v>1116</v>
      </c>
      <c r="F145" t="s">
        <v>1039</v>
      </c>
      <c r="G145" t="s">
        <v>1189</v>
      </c>
    </row>
    <row r="146" spans="2:7" x14ac:dyDescent="0.35">
      <c r="B146" t="s">
        <v>1127</v>
      </c>
      <c r="F146" t="s">
        <v>1041</v>
      </c>
      <c r="G146" t="s">
        <v>1194</v>
      </c>
    </row>
    <row r="147" spans="2:7" x14ac:dyDescent="0.35">
      <c r="B147" t="s">
        <v>1136</v>
      </c>
      <c r="F147" t="s">
        <v>1045</v>
      </c>
      <c r="G147" t="s">
        <v>1201</v>
      </c>
    </row>
    <row r="148" spans="2:7" x14ac:dyDescent="0.35">
      <c r="B148" t="s">
        <v>1143</v>
      </c>
      <c r="F148" t="s">
        <v>1066</v>
      </c>
      <c r="G148" t="s">
        <v>1202</v>
      </c>
    </row>
    <row r="149" spans="2:7" x14ac:dyDescent="0.35">
      <c r="B149" t="s">
        <v>1147</v>
      </c>
      <c r="F149" t="s">
        <v>1076</v>
      </c>
      <c r="G149" t="s">
        <v>1206</v>
      </c>
    </row>
    <row r="150" spans="2:7" x14ac:dyDescent="0.35">
      <c r="B150" t="s">
        <v>1152</v>
      </c>
      <c r="F150" t="s">
        <v>1077</v>
      </c>
      <c r="G150" t="s">
        <v>1209</v>
      </c>
    </row>
    <row r="151" spans="2:7" x14ac:dyDescent="0.35">
      <c r="B151" t="s">
        <v>1158</v>
      </c>
      <c r="F151" t="s">
        <v>1087</v>
      </c>
      <c r="G151" t="s">
        <v>506</v>
      </c>
    </row>
    <row r="152" spans="2:7" x14ac:dyDescent="0.35">
      <c r="B152" t="s">
        <v>1170</v>
      </c>
      <c r="F152" t="s">
        <v>1092</v>
      </c>
      <c r="G152" t="s">
        <v>1217</v>
      </c>
    </row>
    <row r="153" spans="2:7" x14ac:dyDescent="0.35">
      <c r="B153" t="s">
        <v>1173</v>
      </c>
      <c r="F153" t="s">
        <v>1099</v>
      </c>
      <c r="G153" t="s">
        <v>1243</v>
      </c>
    </row>
    <row r="154" spans="2:7" x14ac:dyDescent="0.35">
      <c r="B154" t="s">
        <v>1175</v>
      </c>
      <c r="F154" t="s">
        <v>1105</v>
      </c>
      <c r="G154" t="s">
        <v>1260</v>
      </c>
    </row>
    <row r="155" spans="2:7" x14ac:dyDescent="0.35">
      <c r="B155" t="s">
        <v>1185</v>
      </c>
      <c r="F155" t="s">
        <v>1113</v>
      </c>
      <c r="G155" t="s">
        <v>1277</v>
      </c>
    </row>
    <row r="156" spans="2:7" x14ac:dyDescent="0.35">
      <c r="B156" t="s">
        <v>1192</v>
      </c>
      <c r="F156" t="s">
        <v>1133</v>
      </c>
      <c r="G156" t="s">
        <v>1292</v>
      </c>
    </row>
    <row r="157" spans="2:7" x14ac:dyDescent="0.35">
      <c r="B157" t="s">
        <v>1197</v>
      </c>
      <c r="F157" t="s">
        <v>1145</v>
      </c>
      <c r="G157" t="s">
        <v>1305</v>
      </c>
    </row>
    <row r="158" spans="2:7" x14ac:dyDescent="0.35">
      <c r="B158" t="s">
        <v>1213</v>
      </c>
      <c r="F158" t="s">
        <v>1150</v>
      </c>
      <c r="G158" t="s">
        <v>1316</v>
      </c>
    </row>
    <row r="159" spans="2:7" x14ac:dyDescent="0.35">
      <c r="B159" t="s">
        <v>1220</v>
      </c>
      <c r="F159" t="s">
        <v>1151</v>
      </c>
      <c r="G159" t="s">
        <v>1323</v>
      </c>
    </row>
    <row r="160" spans="2:7" x14ac:dyDescent="0.35">
      <c r="B160" t="s">
        <v>1225</v>
      </c>
      <c r="F160" t="s">
        <v>1154</v>
      </c>
      <c r="G160" t="s">
        <v>1328</v>
      </c>
    </row>
    <row r="161" spans="2:7" x14ac:dyDescent="0.35">
      <c r="B161" t="s">
        <v>1233</v>
      </c>
      <c r="F161" t="s">
        <v>1160</v>
      </c>
      <c r="G161" t="s">
        <v>1338</v>
      </c>
    </row>
    <row r="162" spans="2:7" x14ac:dyDescent="0.35">
      <c r="B162" t="s">
        <v>1237</v>
      </c>
      <c r="F162" t="s">
        <v>1174</v>
      </c>
      <c r="G162" t="s">
        <v>1339</v>
      </c>
    </row>
    <row r="163" spans="2:7" x14ac:dyDescent="0.35">
      <c r="B163" t="s">
        <v>1246</v>
      </c>
      <c r="F163" t="s">
        <v>1182</v>
      </c>
      <c r="G163" t="s">
        <v>1351</v>
      </c>
    </row>
    <row r="164" spans="2:7" x14ac:dyDescent="0.35">
      <c r="B164" t="s">
        <v>1247</v>
      </c>
      <c r="F164" t="s">
        <v>1200</v>
      </c>
      <c r="G164" t="s">
        <v>1357</v>
      </c>
    </row>
    <row r="165" spans="2:7" x14ac:dyDescent="0.35">
      <c r="B165" t="s">
        <v>1250</v>
      </c>
      <c r="F165" t="s">
        <v>1205</v>
      </c>
      <c r="G165" t="s">
        <v>1360</v>
      </c>
    </row>
    <row r="166" spans="2:7" x14ac:dyDescent="0.35">
      <c r="B166" t="s">
        <v>1253</v>
      </c>
      <c r="F166" t="s">
        <v>1214</v>
      </c>
      <c r="G166" t="s">
        <v>1371</v>
      </c>
    </row>
    <row r="167" spans="2:7" x14ac:dyDescent="0.35">
      <c r="B167" t="s">
        <v>1254</v>
      </c>
      <c r="F167" t="s">
        <v>1222</v>
      </c>
      <c r="G167" t="s">
        <v>1373</v>
      </c>
    </row>
    <row r="168" spans="2:7" x14ac:dyDescent="0.35">
      <c r="B168" t="s">
        <v>1265</v>
      </c>
      <c r="F168" t="s">
        <v>1228</v>
      </c>
      <c r="G168" t="s">
        <v>1375</v>
      </c>
    </row>
    <row r="169" spans="2:7" x14ac:dyDescent="0.35">
      <c r="B169" t="s">
        <v>1270</v>
      </c>
      <c r="F169" t="s">
        <v>1236</v>
      </c>
      <c r="G169" t="s">
        <v>1377</v>
      </c>
    </row>
    <row r="170" spans="2:7" x14ac:dyDescent="0.35">
      <c r="B170" t="s">
        <v>1273</v>
      </c>
      <c r="F170" t="s">
        <v>1240</v>
      </c>
      <c r="G170" t="s">
        <v>1388</v>
      </c>
    </row>
    <row r="171" spans="2:7" x14ac:dyDescent="0.35">
      <c r="B171" t="s">
        <v>1283</v>
      </c>
      <c r="F171" t="s">
        <v>1257</v>
      </c>
      <c r="G171" t="s">
        <v>1389</v>
      </c>
    </row>
    <row r="172" spans="2:7" x14ac:dyDescent="0.35">
      <c r="B172" t="s">
        <v>1286</v>
      </c>
      <c r="F172" t="s">
        <v>1262</v>
      </c>
      <c r="G172" t="s">
        <v>1399</v>
      </c>
    </row>
    <row r="173" spans="2:7" x14ac:dyDescent="0.35">
      <c r="B173" t="s">
        <v>1289</v>
      </c>
      <c r="F173" t="s">
        <v>1276</v>
      </c>
      <c r="G173" t="s">
        <v>1413</v>
      </c>
    </row>
    <row r="174" spans="2:7" x14ac:dyDescent="0.35">
      <c r="B174" t="s">
        <v>1298</v>
      </c>
      <c r="F174" t="s">
        <v>1279</v>
      </c>
      <c r="G174" t="s">
        <v>1416</v>
      </c>
    </row>
    <row r="175" spans="2:7" x14ac:dyDescent="0.35">
      <c r="B175" t="s">
        <v>1300</v>
      </c>
      <c r="F175" t="s">
        <v>1280</v>
      </c>
      <c r="G175" t="s">
        <v>1419</v>
      </c>
    </row>
    <row r="176" spans="2:7" x14ac:dyDescent="0.35">
      <c r="B176" t="s">
        <v>1312</v>
      </c>
      <c r="F176" t="s">
        <v>1295</v>
      </c>
      <c r="G176" t="s">
        <v>1425</v>
      </c>
    </row>
    <row r="177" spans="2:7" x14ac:dyDescent="0.35">
      <c r="B177" t="s">
        <v>1325</v>
      </c>
      <c r="F177" t="s">
        <v>1308</v>
      </c>
      <c r="G177" t="s">
        <v>1442</v>
      </c>
    </row>
    <row r="178" spans="2:7" x14ac:dyDescent="0.35">
      <c r="B178" t="s">
        <v>1337</v>
      </c>
      <c r="F178" t="s">
        <v>1315</v>
      </c>
      <c r="G178" t="s">
        <v>1448</v>
      </c>
    </row>
    <row r="179" spans="2:7" x14ac:dyDescent="0.35">
      <c r="B179" t="s">
        <v>1346</v>
      </c>
      <c r="F179" t="s">
        <v>1320</v>
      </c>
      <c r="G179" t="s">
        <v>1451</v>
      </c>
    </row>
    <row r="180" spans="2:7" x14ac:dyDescent="0.35">
      <c r="B180" t="s">
        <v>1354</v>
      </c>
      <c r="F180" t="s">
        <v>1342</v>
      </c>
      <c r="G180" t="s">
        <v>1458</v>
      </c>
    </row>
    <row r="181" spans="2:7" x14ac:dyDescent="0.35">
      <c r="B181" t="s">
        <v>1361</v>
      </c>
      <c r="F181" t="s">
        <v>1343</v>
      </c>
      <c r="G181" t="s">
        <v>1471</v>
      </c>
    </row>
    <row r="182" spans="2:7" x14ac:dyDescent="0.35">
      <c r="B182" t="s">
        <v>1369</v>
      </c>
      <c r="F182" t="s">
        <v>1362</v>
      </c>
      <c r="G182" t="s">
        <v>1476</v>
      </c>
    </row>
    <row r="183" spans="2:7" x14ac:dyDescent="0.35">
      <c r="B183" t="s">
        <v>1372</v>
      </c>
      <c r="F183" t="s">
        <v>1363</v>
      </c>
      <c r="G183" t="s">
        <v>1482</v>
      </c>
    </row>
    <row r="184" spans="2:7" x14ac:dyDescent="0.35">
      <c r="B184" t="s">
        <v>1384</v>
      </c>
      <c r="F184" t="s">
        <v>1364</v>
      </c>
      <c r="G184" t="s">
        <v>1485</v>
      </c>
    </row>
    <row r="185" spans="2:7" x14ac:dyDescent="0.35">
      <c r="B185" t="s">
        <v>1387</v>
      </c>
      <c r="F185" t="s">
        <v>1365</v>
      </c>
      <c r="G185" t="s">
        <v>1497</v>
      </c>
    </row>
    <row r="186" spans="2:7" x14ac:dyDescent="0.35">
      <c r="B186" t="s">
        <v>1394</v>
      </c>
      <c r="F186" t="s">
        <v>1368</v>
      </c>
      <c r="G186" t="s">
        <v>1501</v>
      </c>
    </row>
    <row r="187" spans="2:7" x14ac:dyDescent="0.35">
      <c r="B187" t="s">
        <v>1409</v>
      </c>
      <c r="F187" t="s">
        <v>1380</v>
      </c>
      <c r="G187" t="s">
        <v>1508</v>
      </c>
    </row>
    <row r="188" spans="2:7" x14ac:dyDescent="0.35">
      <c r="B188" t="s">
        <v>1412</v>
      </c>
      <c r="F188" t="s">
        <v>1383</v>
      </c>
      <c r="G188" t="s">
        <v>1514</v>
      </c>
    </row>
    <row r="189" spans="2:7" x14ac:dyDescent="0.35">
      <c r="B189" t="s">
        <v>1421</v>
      </c>
      <c r="F189" t="s">
        <v>1398</v>
      </c>
      <c r="G189" t="s">
        <v>1527</v>
      </c>
    </row>
    <row r="190" spans="2:7" x14ac:dyDescent="0.35">
      <c r="B190" t="s">
        <v>1429</v>
      </c>
      <c r="F190" t="s">
        <v>1402</v>
      </c>
      <c r="G190" t="s">
        <v>1547</v>
      </c>
    </row>
    <row r="191" spans="2:7" x14ac:dyDescent="0.35">
      <c r="B191" t="s">
        <v>1436</v>
      </c>
      <c r="F191" t="s">
        <v>1407</v>
      </c>
      <c r="G191" t="s">
        <v>1550</v>
      </c>
    </row>
    <row r="192" spans="2:7" x14ac:dyDescent="0.35">
      <c r="B192" t="s">
        <v>1439</v>
      </c>
      <c r="F192" t="s">
        <v>1417</v>
      </c>
      <c r="G192" t="s">
        <v>1570</v>
      </c>
    </row>
    <row r="193" spans="2:7" x14ac:dyDescent="0.35">
      <c r="B193" t="s">
        <v>1455</v>
      </c>
      <c r="F193" t="s">
        <v>1418</v>
      </c>
      <c r="G193" t="s">
        <v>1579</v>
      </c>
    </row>
    <row r="194" spans="2:7" x14ac:dyDescent="0.35">
      <c r="B194" t="s">
        <v>1461</v>
      </c>
      <c r="F194" t="s">
        <v>1432</v>
      </c>
      <c r="G194" t="s">
        <v>1593</v>
      </c>
    </row>
    <row r="195" spans="2:7" x14ac:dyDescent="0.35">
      <c r="B195" t="s">
        <v>1465</v>
      </c>
      <c r="F195" t="s">
        <v>1445</v>
      </c>
      <c r="G195" t="s">
        <v>1596</v>
      </c>
    </row>
    <row r="196" spans="2:7" x14ac:dyDescent="0.35">
      <c r="B196" t="s">
        <v>1468</v>
      </c>
      <c r="F196" t="s">
        <v>1454</v>
      </c>
      <c r="G196" t="s">
        <v>1608</v>
      </c>
    </row>
    <row r="197" spans="2:7" x14ac:dyDescent="0.35">
      <c r="B197" t="s">
        <v>1481</v>
      </c>
      <c r="F197" t="s">
        <v>1474</v>
      </c>
      <c r="G197" t="s">
        <v>1650</v>
      </c>
    </row>
    <row r="198" spans="2:7" x14ac:dyDescent="0.35">
      <c r="B198" t="s">
        <v>1491</v>
      </c>
      <c r="F198" t="s">
        <v>1488</v>
      </c>
      <c r="G198" t="s">
        <v>1662</v>
      </c>
    </row>
    <row r="199" spans="2:7" x14ac:dyDescent="0.35">
      <c r="B199" t="s">
        <v>1494</v>
      </c>
      <c r="F199" t="s">
        <v>1504</v>
      </c>
      <c r="G199" t="s">
        <v>1671</v>
      </c>
    </row>
    <row r="200" spans="2:7" x14ac:dyDescent="0.35">
      <c r="B200" t="s">
        <v>1511</v>
      </c>
      <c r="F200" t="s">
        <v>1507</v>
      </c>
      <c r="G200" t="s">
        <v>1674</v>
      </c>
    </row>
    <row r="201" spans="2:7" x14ac:dyDescent="0.35">
      <c r="B201" t="s">
        <v>1524</v>
      </c>
      <c r="F201" t="s">
        <v>1521</v>
      </c>
      <c r="G201" t="s">
        <v>1680</v>
      </c>
    </row>
    <row r="202" spans="2:7" x14ac:dyDescent="0.35">
      <c r="B202" t="s">
        <v>1530</v>
      </c>
      <c r="F202" t="s">
        <v>1533</v>
      </c>
      <c r="G202" t="s">
        <v>1690</v>
      </c>
    </row>
    <row r="203" spans="2:7" x14ac:dyDescent="0.35">
      <c r="B203" t="s">
        <v>1543</v>
      </c>
      <c r="F203" t="s">
        <v>1536</v>
      </c>
      <c r="G203" t="s">
        <v>1698</v>
      </c>
    </row>
    <row r="204" spans="2:7" x14ac:dyDescent="0.35">
      <c r="B204" t="s">
        <v>1544</v>
      </c>
      <c r="F204" t="s">
        <v>1539</v>
      </c>
      <c r="G204" t="s">
        <v>1704</v>
      </c>
    </row>
    <row r="205" spans="2:7" x14ac:dyDescent="0.35">
      <c r="B205" t="s">
        <v>1553</v>
      </c>
      <c r="F205" t="s">
        <v>1542</v>
      </c>
      <c r="G205" t="s">
        <v>1707</v>
      </c>
    </row>
    <row r="206" spans="2:7" x14ac:dyDescent="0.35">
      <c r="B206" t="s">
        <v>1557</v>
      </c>
      <c r="F206" t="s">
        <v>1554</v>
      </c>
      <c r="G206" t="s">
        <v>1711</v>
      </c>
    </row>
    <row r="207" spans="2:7" x14ac:dyDescent="0.35">
      <c r="B207" t="s">
        <v>1563</v>
      </c>
      <c r="F207" t="s">
        <v>1560</v>
      </c>
      <c r="G207" t="s">
        <v>1722</v>
      </c>
    </row>
    <row r="208" spans="2:7" x14ac:dyDescent="0.35">
      <c r="B208" t="s">
        <v>1566</v>
      </c>
      <c r="F208" t="s">
        <v>1576</v>
      </c>
      <c r="G208" t="s">
        <v>1731</v>
      </c>
    </row>
    <row r="209" spans="2:7" x14ac:dyDescent="0.35">
      <c r="B209" t="s">
        <v>1567</v>
      </c>
      <c r="F209" t="s">
        <v>1582</v>
      </c>
      <c r="G209" t="s">
        <v>1746</v>
      </c>
    </row>
    <row r="210" spans="2:7" x14ac:dyDescent="0.35">
      <c r="B210" t="s">
        <v>1573</v>
      </c>
      <c r="F210" t="s">
        <v>1591</v>
      </c>
      <c r="G210" t="s">
        <v>1753</v>
      </c>
    </row>
    <row r="211" spans="2:7" x14ac:dyDescent="0.35">
      <c r="B211" t="s">
        <v>1585</v>
      </c>
      <c r="F211" t="s">
        <v>1592</v>
      </c>
      <c r="G211" t="s">
        <v>1773</v>
      </c>
    </row>
    <row r="212" spans="2:7" x14ac:dyDescent="0.35">
      <c r="B212" t="s">
        <v>1588</v>
      </c>
      <c r="F212" t="s">
        <v>1599</v>
      </c>
      <c r="G212" t="s">
        <v>1775</v>
      </c>
    </row>
    <row r="213" spans="2:7" x14ac:dyDescent="0.35">
      <c r="B213" t="s">
        <v>1604</v>
      </c>
      <c r="F213" t="s">
        <v>1600</v>
      </c>
      <c r="G213" t="s">
        <v>1778</v>
      </c>
    </row>
    <row r="214" spans="2:7" x14ac:dyDescent="0.35">
      <c r="B214" t="s">
        <v>1612</v>
      </c>
      <c r="F214" t="s">
        <v>1605</v>
      </c>
      <c r="G214" t="s">
        <v>1797</v>
      </c>
    </row>
    <row r="215" spans="2:7" x14ac:dyDescent="0.35">
      <c r="B215" t="s">
        <v>1618</v>
      </c>
      <c r="F215" t="s">
        <v>1615</v>
      </c>
      <c r="G215" t="s">
        <v>1808</v>
      </c>
    </row>
    <row r="216" spans="2:7" x14ac:dyDescent="0.35">
      <c r="B216" t="s">
        <v>1622</v>
      </c>
      <c r="F216" t="s">
        <v>1619</v>
      </c>
      <c r="G216" t="s">
        <v>1812</v>
      </c>
    </row>
    <row r="217" spans="2:7" x14ac:dyDescent="0.35">
      <c r="B217" t="s">
        <v>1625</v>
      </c>
      <c r="F217" t="s">
        <v>1620</v>
      </c>
      <c r="G217" t="s">
        <v>1824</v>
      </c>
    </row>
    <row r="218" spans="2:7" x14ac:dyDescent="0.35">
      <c r="B218" t="s">
        <v>1628</v>
      </c>
      <c r="F218" t="s">
        <v>1641</v>
      </c>
      <c r="G218" t="s">
        <v>1831</v>
      </c>
    </row>
    <row r="219" spans="2:7" x14ac:dyDescent="0.35">
      <c r="B219" t="s">
        <v>1631</v>
      </c>
      <c r="F219" t="s">
        <v>1643</v>
      </c>
      <c r="G219" t="s">
        <v>1872</v>
      </c>
    </row>
    <row r="220" spans="2:7" x14ac:dyDescent="0.35">
      <c r="B220" t="s">
        <v>1635</v>
      </c>
      <c r="F220" t="s">
        <v>1644</v>
      </c>
      <c r="G220" t="s">
        <v>1892</v>
      </c>
    </row>
    <row r="221" spans="2:7" x14ac:dyDescent="0.35">
      <c r="B221" t="s">
        <v>1638</v>
      </c>
      <c r="F221" t="s">
        <v>1645</v>
      </c>
      <c r="G221" t="s">
        <v>1902</v>
      </c>
    </row>
    <row r="222" spans="2:7" x14ac:dyDescent="0.35">
      <c r="B222" t="s">
        <v>1646</v>
      </c>
      <c r="F222" t="s">
        <v>1656</v>
      </c>
      <c r="G222" t="s">
        <v>1912</v>
      </c>
    </row>
    <row r="223" spans="2:7" x14ac:dyDescent="0.35">
      <c r="B223" t="s">
        <v>1649</v>
      </c>
      <c r="F223" t="s">
        <v>1669</v>
      </c>
      <c r="G223" t="s">
        <v>1922</v>
      </c>
    </row>
    <row r="224" spans="2:7" x14ac:dyDescent="0.35">
      <c r="B224" t="s">
        <v>1653</v>
      </c>
      <c r="F224" t="s">
        <v>1670</v>
      </c>
      <c r="G224" t="s">
        <v>1943</v>
      </c>
    </row>
    <row r="225" spans="2:7" x14ac:dyDescent="0.35">
      <c r="B225" t="s">
        <v>1659</v>
      </c>
      <c r="F225" t="s">
        <v>1677</v>
      </c>
      <c r="G225" t="s">
        <v>1946</v>
      </c>
    </row>
    <row r="226" spans="2:7" x14ac:dyDescent="0.35">
      <c r="B226" t="s">
        <v>1665</v>
      </c>
      <c r="F226" t="s">
        <v>1686</v>
      </c>
      <c r="G226" t="s">
        <v>1953</v>
      </c>
    </row>
    <row r="227" spans="2:7" x14ac:dyDescent="0.35">
      <c r="B227" t="s">
        <v>1683</v>
      </c>
      <c r="F227" t="s">
        <v>1696</v>
      </c>
      <c r="G227" t="s">
        <v>1960</v>
      </c>
    </row>
    <row r="228" spans="2:7" x14ac:dyDescent="0.35">
      <c r="B228" t="s">
        <v>1693</v>
      </c>
      <c r="F228" t="s">
        <v>1701</v>
      </c>
      <c r="G228" t="s">
        <v>1973</v>
      </c>
    </row>
    <row r="229" spans="2:7" x14ac:dyDescent="0.35">
      <c r="B229" t="s">
        <v>1714</v>
      </c>
      <c r="F229" t="s">
        <v>1710</v>
      </c>
      <c r="G229" t="s">
        <v>1982</v>
      </c>
    </row>
    <row r="230" spans="2:7" x14ac:dyDescent="0.35">
      <c r="B230" t="s">
        <v>1719</v>
      </c>
      <c r="F230" t="s">
        <v>1717</v>
      </c>
      <c r="G230" t="s">
        <v>1990</v>
      </c>
    </row>
    <row r="231" spans="2:7" x14ac:dyDescent="0.35">
      <c r="B231" t="s">
        <v>1728</v>
      </c>
      <c r="F231" t="s">
        <v>1725</v>
      </c>
      <c r="G231" t="s">
        <v>1992</v>
      </c>
    </row>
    <row r="232" spans="2:7" x14ac:dyDescent="0.35">
      <c r="B232" t="s">
        <v>1737</v>
      </c>
      <c r="F232" t="s">
        <v>1743</v>
      </c>
      <c r="G232" t="s">
        <v>2005</v>
      </c>
    </row>
    <row r="233" spans="2:7" x14ac:dyDescent="0.35">
      <c r="B233" t="s">
        <v>1740</v>
      </c>
      <c r="F233" t="s">
        <v>1752</v>
      </c>
      <c r="G233" t="s">
        <v>2008</v>
      </c>
    </row>
    <row r="234" spans="2:7" x14ac:dyDescent="0.35">
      <c r="B234" t="s">
        <v>1749</v>
      </c>
      <c r="F234" t="s">
        <v>1762</v>
      </c>
      <c r="G234" t="s">
        <v>2013</v>
      </c>
    </row>
    <row r="235" spans="2:7" x14ac:dyDescent="0.35">
      <c r="B235" t="s">
        <v>1756</v>
      </c>
      <c r="F235" t="s">
        <v>1769</v>
      </c>
      <c r="G235" t="s">
        <v>2026</v>
      </c>
    </row>
    <row r="236" spans="2:7" x14ac:dyDescent="0.35">
      <c r="B236" t="s">
        <v>1759</v>
      </c>
      <c r="F236" t="s">
        <v>1784</v>
      </c>
      <c r="G236" t="s">
        <v>2032</v>
      </c>
    </row>
    <row r="237" spans="2:7" x14ac:dyDescent="0.35">
      <c r="B237" t="s">
        <v>1765</v>
      </c>
      <c r="F237" t="s">
        <v>1790</v>
      </c>
      <c r="G237" t="s">
        <v>2040</v>
      </c>
    </row>
    <row r="238" spans="2:7" x14ac:dyDescent="0.35">
      <c r="B238" t="s">
        <v>1766</v>
      </c>
      <c r="F238" t="s">
        <v>1813</v>
      </c>
      <c r="G238" t="s">
        <v>2050</v>
      </c>
    </row>
    <row r="239" spans="2:7" x14ac:dyDescent="0.35">
      <c r="B239" t="s">
        <v>1781</v>
      </c>
      <c r="F239" t="s">
        <v>1814</v>
      </c>
      <c r="G239" t="s">
        <v>2053</v>
      </c>
    </row>
    <row r="240" spans="2:7" x14ac:dyDescent="0.35">
      <c r="B240" t="s">
        <v>1787</v>
      </c>
      <c r="F240" t="s">
        <v>1815</v>
      </c>
      <c r="G240" t="s">
        <v>2067</v>
      </c>
    </row>
    <row r="241" spans="2:7" x14ac:dyDescent="0.35">
      <c r="B241" t="s">
        <v>1793</v>
      </c>
      <c r="F241" t="s">
        <v>1830</v>
      </c>
      <c r="G241" t="s">
        <v>2072</v>
      </c>
    </row>
    <row r="242" spans="2:7" x14ac:dyDescent="0.35">
      <c r="B242" t="s">
        <v>1794</v>
      </c>
      <c r="F242" t="s">
        <v>1835</v>
      </c>
      <c r="G242" t="s">
        <v>2081</v>
      </c>
    </row>
    <row r="243" spans="2:7" x14ac:dyDescent="0.35">
      <c r="B243" t="s">
        <v>1800</v>
      </c>
      <c r="F243" t="s">
        <v>1836</v>
      </c>
      <c r="G243" t="s">
        <v>2093</v>
      </c>
    </row>
    <row r="244" spans="2:7" x14ac:dyDescent="0.35">
      <c r="B244" t="s">
        <v>1801</v>
      </c>
      <c r="F244" t="s">
        <v>1839</v>
      </c>
      <c r="G244" t="s">
        <v>2098</v>
      </c>
    </row>
    <row r="245" spans="2:7" x14ac:dyDescent="0.35">
      <c r="B245" t="s">
        <v>1806</v>
      </c>
      <c r="F245" t="s">
        <v>1843</v>
      </c>
      <c r="G245" t="s">
        <v>2107</v>
      </c>
    </row>
    <row r="246" spans="2:7" x14ac:dyDescent="0.35">
      <c r="B246" t="s">
        <v>1811</v>
      </c>
      <c r="F246" t="s">
        <v>1844</v>
      </c>
      <c r="G246" t="s">
        <v>2110</v>
      </c>
    </row>
    <row r="247" spans="2:7" x14ac:dyDescent="0.35">
      <c r="B247" t="s">
        <v>1818</v>
      </c>
      <c r="F247" t="s">
        <v>1854</v>
      </c>
      <c r="G247" t="s">
        <v>2120</v>
      </c>
    </row>
    <row r="248" spans="2:7" x14ac:dyDescent="0.35">
      <c r="B248" t="s">
        <v>1821</v>
      </c>
      <c r="F248" t="s">
        <v>1858</v>
      </c>
      <c r="G248" t="s">
        <v>2128</v>
      </c>
    </row>
    <row r="249" spans="2:7" x14ac:dyDescent="0.35">
      <c r="B249" t="s">
        <v>1827</v>
      </c>
      <c r="F249" t="s">
        <v>1859</v>
      </c>
      <c r="G249" t="s">
        <v>2137</v>
      </c>
    </row>
    <row r="250" spans="2:7" x14ac:dyDescent="0.35">
      <c r="B250" t="s">
        <v>1834</v>
      </c>
      <c r="F250" t="s">
        <v>1862</v>
      </c>
      <c r="G250" t="s">
        <v>2147</v>
      </c>
    </row>
    <row r="251" spans="2:7" x14ac:dyDescent="0.35">
      <c r="B251" t="s">
        <v>1842</v>
      </c>
      <c r="F251" t="s">
        <v>1875</v>
      </c>
      <c r="G251" t="s">
        <v>2156</v>
      </c>
    </row>
    <row r="252" spans="2:7" x14ac:dyDescent="0.35">
      <c r="B252" t="s">
        <v>1847</v>
      </c>
      <c r="F252" t="s">
        <v>1878</v>
      </c>
      <c r="G252" t="s">
        <v>2178</v>
      </c>
    </row>
    <row r="253" spans="2:7" x14ac:dyDescent="0.35">
      <c r="B253" t="s">
        <v>1850</v>
      </c>
      <c r="F253" t="s">
        <v>1886</v>
      </c>
      <c r="G253" t="s">
        <v>2184</v>
      </c>
    </row>
    <row r="254" spans="2:7" x14ac:dyDescent="0.35">
      <c r="B254" t="s">
        <v>1851</v>
      </c>
      <c r="F254" t="s">
        <v>1895</v>
      </c>
      <c r="G254" t="s">
        <v>2194</v>
      </c>
    </row>
    <row r="255" spans="2:7" x14ac:dyDescent="0.35">
      <c r="B255" t="s">
        <v>1868</v>
      </c>
      <c r="F255" t="s">
        <v>1253</v>
      </c>
      <c r="G255" t="s">
        <v>2203</v>
      </c>
    </row>
    <row r="256" spans="2:7" x14ac:dyDescent="0.35">
      <c r="B256" t="s">
        <v>1869</v>
      </c>
      <c r="F256" t="s">
        <v>1932</v>
      </c>
      <c r="G256" t="s">
        <v>2206</v>
      </c>
    </row>
    <row r="257" spans="2:7" x14ac:dyDescent="0.35">
      <c r="B257" t="s">
        <v>1871</v>
      </c>
      <c r="F257" t="s">
        <v>1939</v>
      </c>
      <c r="G257" t="s">
        <v>2251</v>
      </c>
    </row>
    <row r="258" spans="2:7" x14ac:dyDescent="0.35">
      <c r="B258" t="s">
        <v>1882</v>
      </c>
      <c r="F258" t="s">
        <v>1949</v>
      </c>
      <c r="G258" t="s">
        <v>2254</v>
      </c>
    </row>
    <row r="259" spans="2:7" x14ac:dyDescent="0.35">
      <c r="B259" t="s">
        <v>1889</v>
      </c>
      <c r="F259" t="s">
        <v>1963</v>
      </c>
      <c r="G259" t="s">
        <v>2260</v>
      </c>
    </row>
    <row r="260" spans="2:7" x14ac:dyDescent="0.35">
      <c r="B260" t="s">
        <v>1896</v>
      </c>
      <c r="F260" t="s">
        <v>1981</v>
      </c>
      <c r="G260" t="s">
        <v>2275</v>
      </c>
    </row>
    <row r="261" spans="2:7" x14ac:dyDescent="0.35">
      <c r="B261" t="s">
        <v>1905</v>
      </c>
      <c r="F261" t="s">
        <v>1985</v>
      </c>
      <c r="G261" t="s">
        <v>2286</v>
      </c>
    </row>
    <row r="262" spans="2:7" x14ac:dyDescent="0.35">
      <c r="B262" t="s">
        <v>1909</v>
      </c>
      <c r="F262" t="s">
        <v>1998</v>
      </c>
      <c r="G262" t="s">
        <v>2291</v>
      </c>
    </row>
    <row r="263" spans="2:7" x14ac:dyDescent="0.35">
      <c r="B263" t="s">
        <v>1915</v>
      </c>
      <c r="F263" t="s">
        <v>2015</v>
      </c>
      <c r="G263" t="s">
        <v>2294</v>
      </c>
    </row>
    <row r="264" spans="2:7" x14ac:dyDescent="0.35">
      <c r="B264" t="s">
        <v>1919</v>
      </c>
      <c r="F264" t="s">
        <v>2031</v>
      </c>
      <c r="G264" t="s">
        <v>2302</v>
      </c>
    </row>
    <row r="265" spans="2:7" x14ac:dyDescent="0.35">
      <c r="B265" t="s">
        <v>1929</v>
      </c>
      <c r="F265" t="s">
        <v>2035</v>
      </c>
      <c r="G265" t="s">
        <v>2306</v>
      </c>
    </row>
    <row r="266" spans="2:7" x14ac:dyDescent="0.35">
      <c r="B266" t="s">
        <v>1935</v>
      </c>
      <c r="F266" t="s">
        <v>2036</v>
      </c>
      <c r="G266" t="s">
        <v>2318</v>
      </c>
    </row>
    <row r="267" spans="2:7" x14ac:dyDescent="0.35">
      <c r="B267" t="s">
        <v>1936</v>
      </c>
      <c r="F267" t="s">
        <v>2039</v>
      </c>
      <c r="G267" t="s">
        <v>2325</v>
      </c>
    </row>
    <row r="268" spans="2:7" x14ac:dyDescent="0.35">
      <c r="B268" t="s">
        <v>1940</v>
      </c>
      <c r="F268" t="s">
        <v>2047</v>
      </c>
      <c r="G268" t="s">
        <v>2328</v>
      </c>
    </row>
    <row r="269" spans="2:7" x14ac:dyDescent="0.35">
      <c r="B269" t="s">
        <v>1964</v>
      </c>
      <c r="F269" t="s">
        <v>2051</v>
      </c>
      <c r="G269" t="s">
        <v>2329</v>
      </c>
    </row>
    <row r="270" spans="2:7" x14ac:dyDescent="0.35">
      <c r="B270" t="s">
        <v>1967</v>
      </c>
      <c r="F270" t="s">
        <v>2057</v>
      </c>
      <c r="G270" t="s">
        <v>2338</v>
      </c>
    </row>
    <row r="271" spans="2:7" x14ac:dyDescent="0.35">
      <c r="B271" t="s">
        <v>1970</v>
      </c>
      <c r="F271" t="s">
        <v>2060</v>
      </c>
      <c r="G271" t="s">
        <v>2343</v>
      </c>
    </row>
    <row r="272" spans="2:7" x14ac:dyDescent="0.35">
      <c r="B272" t="s">
        <v>1975</v>
      </c>
      <c r="F272" t="s">
        <v>2071</v>
      </c>
      <c r="G272" t="s">
        <v>2354</v>
      </c>
    </row>
    <row r="273" spans="2:7" x14ac:dyDescent="0.35">
      <c r="B273" t="s">
        <v>1978</v>
      </c>
      <c r="F273" t="s">
        <v>2075</v>
      </c>
      <c r="G273" t="s">
        <v>2356</v>
      </c>
    </row>
    <row r="274" spans="2:7" x14ac:dyDescent="0.35">
      <c r="B274" t="s">
        <v>1989</v>
      </c>
      <c r="F274" t="s">
        <v>2087</v>
      </c>
      <c r="G274" t="s">
        <v>2367</v>
      </c>
    </row>
    <row r="275" spans="2:7" x14ac:dyDescent="0.35">
      <c r="B275" t="s">
        <v>1995</v>
      </c>
      <c r="F275" t="s">
        <v>2101</v>
      </c>
      <c r="G275" t="s">
        <v>2368</v>
      </c>
    </row>
    <row r="276" spans="2:7" x14ac:dyDescent="0.35">
      <c r="B276" t="s">
        <v>2002</v>
      </c>
      <c r="F276" t="s">
        <v>2116</v>
      </c>
      <c r="G276" t="s">
        <v>2369</v>
      </c>
    </row>
    <row r="277" spans="2:7" x14ac:dyDescent="0.35">
      <c r="B277" t="s">
        <v>2010</v>
      </c>
      <c r="F277" t="s">
        <v>2131</v>
      </c>
      <c r="G277" t="s">
        <v>2372</v>
      </c>
    </row>
    <row r="278" spans="2:7" x14ac:dyDescent="0.35">
      <c r="B278" t="s">
        <v>2018</v>
      </c>
      <c r="F278" t="s">
        <v>2143</v>
      </c>
      <c r="G278" t="s">
        <v>2374</v>
      </c>
    </row>
    <row r="279" spans="2:7" x14ac:dyDescent="0.35">
      <c r="B279" t="s">
        <v>2021</v>
      </c>
      <c r="F279" t="s">
        <v>2144</v>
      </c>
      <c r="G279" t="s">
        <v>2380</v>
      </c>
    </row>
    <row r="280" spans="2:7" x14ac:dyDescent="0.35">
      <c r="B280" t="s">
        <v>2022</v>
      </c>
      <c r="F280" t="s">
        <v>2145</v>
      </c>
      <c r="G280" t="s">
        <v>2384</v>
      </c>
    </row>
    <row r="281" spans="2:7" x14ac:dyDescent="0.35">
      <c r="B281" t="s">
        <v>2023</v>
      </c>
      <c r="F281" t="s">
        <v>2150</v>
      </c>
      <c r="G281" t="s">
        <v>2386</v>
      </c>
    </row>
    <row r="282" spans="2:7" x14ac:dyDescent="0.35">
      <c r="B282" t="s">
        <v>2029</v>
      </c>
      <c r="F282" t="s">
        <v>2163</v>
      </c>
      <c r="G282" t="s">
        <v>2391</v>
      </c>
    </row>
    <row r="283" spans="2:7" x14ac:dyDescent="0.35">
      <c r="B283" t="s">
        <v>2034</v>
      </c>
      <c r="F283" t="s">
        <v>2164</v>
      </c>
      <c r="G283" t="s">
        <v>2393</v>
      </c>
    </row>
    <row r="284" spans="2:7" x14ac:dyDescent="0.35">
      <c r="B284" t="s">
        <v>2037</v>
      </c>
      <c r="F284" t="s">
        <v>2167</v>
      </c>
      <c r="G284" t="s">
        <v>2399</v>
      </c>
    </row>
    <row r="285" spans="2:7" x14ac:dyDescent="0.35">
      <c r="B285" t="s">
        <v>2045</v>
      </c>
      <c r="F285" t="s">
        <v>2174</v>
      </c>
      <c r="G285" t="s">
        <v>2401</v>
      </c>
    </row>
    <row r="286" spans="2:7" x14ac:dyDescent="0.35">
      <c r="B286" t="s">
        <v>2046</v>
      </c>
      <c r="F286" t="s">
        <v>2175</v>
      </c>
      <c r="G286" t="s">
        <v>2406</v>
      </c>
    </row>
    <row r="287" spans="2:7" x14ac:dyDescent="0.35">
      <c r="B287" t="s">
        <v>2054</v>
      </c>
      <c r="F287" t="s">
        <v>2181</v>
      </c>
      <c r="G287" t="s">
        <v>2409</v>
      </c>
    </row>
    <row r="288" spans="2:7" x14ac:dyDescent="0.35">
      <c r="B288" t="s">
        <v>2063</v>
      </c>
      <c r="F288" t="s">
        <v>2190</v>
      </c>
      <c r="G288" t="s">
        <v>2411</v>
      </c>
    </row>
    <row r="289" spans="2:7" x14ac:dyDescent="0.35">
      <c r="B289" t="s">
        <v>2066</v>
      </c>
      <c r="F289" t="s">
        <v>2197</v>
      </c>
      <c r="G289" t="s">
        <v>2426</v>
      </c>
    </row>
    <row r="290" spans="2:7" x14ac:dyDescent="0.35">
      <c r="B290" t="s">
        <v>2078</v>
      </c>
      <c r="F290" t="s">
        <v>2202</v>
      </c>
      <c r="G290" t="s">
        <v>2430</v>
      </c>
    </row>
    <row r="291" spans="2:7" x14ac:dyDescent="0.35">
      <c r="B291" t="s">
        <v>2084</v>
      </c>
      <c r="F291" t="s">
        <v>2216</v>
      </c>
      <c r="G291" t="s">
        <v>2432</v>
      </c>
    </row>
    <row r="292" spans="2:7" x14ac:dyDescent="0.35">
      <c r="B292" t="s">
        <v>2090</v>
      </c>
      <c r="F292" t="s">
        <v>2223</v>
      </c>
      <c r="G292" t="s">
        <v>2435</v>
      </c>
    </row>
    <row r="293" spans="2:7" x14ac:dyDescent="0.35">
      <c r="B293" t="s">
        <v>2096</v>
      </c>
      <c r="F293" t="s">
        <v>2229</v>
      </c>
      <c r="G293" t="s">
        <v>2443</v>
      </c>
    </row>
    <row r="294" spans="2:7" x14ac:dyDescent="0.35">
      <c r="B294" t="s">
        <v>2104</v>
      </c>
      <c r="F294" t="s">
        <v>2244</v>
      </c>
      <c r="G294" t="s">
        <v>2451</v>
      </c>
    </row>
    <row r="295" spans="2:7" x14ac:dyDescent="0.35">
      <c r="B295" t="s">
        <v>2113</v>
      </c>
      <c r="F295" t="s">
        <v>2245</v>
      </c>
      <c r="G295" t="s">
        <v>2458</v>
      </c>
    </row>
    <row r="296" spans="2:7" x14ac:dyDescent="0.35">
      <c r="B296" t="s">
        <v>2123</v>
      </c>
      <c r="F296" t="s">
        <v>2263</v>
      </c>
      <c r="G296" t="s">
        <v>2463</v>
      </c>
    </row>
    <row r="297" spans="2:7" x14ac:dyDescent="0.35">
      <c r="B297" t="s">
        <v>2134</v>
      </c>
      <c r="F297" t="s">
        <v>2269</v>
      </c>
      <c r="G297" t="s">
        <v>2484</v>
      </c>
    </row>
    <row r="298" spans="2:7" x14ac:dyDescent="0.35">
      <c r="B298" t="s">
        <v>2140</v>
      </c>
      <c r="F298" t="s">
        <v>2281</v>
      </c>
      <c r="G298" t="s">
        <v>2492</v>
      </c>
    </row>
    <row r="299" spans="2:7" x14ac:dyDescent="0.35">
      <c r="B299" t="s">
        <v>2151</v>
      </c>
      <c r="F299" t="s">
        <v>2289</v>
      </c>
      <c r="G299" t="s">
        <v>2493</v>
      </c>
    </row>
    <row r="300" spans="2:7" x14ac:dyDescent="0.35">
      <c r="B300" t="s">
        <v>2159</v>
      </c>
      <c r="F300" t="s">
        <v>2300</v>
      </c>
      <c r="G300" t="s">
        <v>2497</v>
      </c>
    </row>
    <row r="301" spans="2:7" x14ac:dyDescent="0.35">
      <c r="B301" t="s">
        <v>2170</v>
      </c>
      <c r="F301" t="s">
        <v>2307</v>
      </c>
      <c r="G301" t="s">
        <v>2519</v>
      </c>
    </row>
    <row r="302" spans="2:7" x14ac:dyDescent="0.35">
      <c r="B302" t="s">
        <v>2173</v>
      </c>
      <c r="F302" t="s">
        <v>2309</v>
      </c>
      <c r="G302" t="s">
        <v>2531</v>
      </c>
    </row>
    <row r="303" spans="2:7" x14ac:dyDescent="0.35">
      <c r="B303" t="s">
        <v>2176</v>
      </c>
      <c r="F303" t="s">
        <v>2310</v>
      </c>
      <c r="G303" t="s">
        <v>2540</v>
      </c>
    </row>
    <row r="304" spans="2:7" x14ac:dyDescent="0.35">
      <c r="B304" t="s">
        <v>2187</v>
      </c>
      <c r="F304" t="s">
        <v>2330</v>
      </c>
      <c r="G304" t="s">
        <v>2546</v>
      </c>
    </row>
    <row r="305" spans="2:7" x14ac:dyDescent="0.35">
      <c r="B305" t="s">
        <v>2200</v>
      </c>
      <c r="F305" t="s">
        <v>2332</v>
      </c>
      <c r="G305" t="s">
        <v>2553</v>
      </c>
    </row>
    <row r="306" spans="2:7" x14ac:dyDescent="0.35">
      <c r="B306" t="s">
        <v>2209</v>
      </c>
      <c r="F306" t="s">
        <v>2336</v>
      </c>
      <c r="G306" t="s">
        <v>2557</v>
      </c>
    </row>
    <row r="307" spans="2:7" x14ac:dyDescent="0.35">
      <c r="B307" t="s">
        <v>2212</v>
      </c>
      <c r="F307" t="s">
        <v>2341</v>
      </c>
      <c r="G307" t="s">
        <v>2558</v>
      </c>
    </row>
    <row r="308" spans="2:7" x14ac:dyDescent="0.35">
      <c r="B308" t="s">
        <v>2215</v>
      </c>
      <c r="F308" t="s">
        <v>2346</v>
      </c>
      <c r="G308" t="s">
        <v>2566</v>
      </c>
    </row>
    <row r="309" spans="2:7" x14ac:dyDescent="0.35">
      <c r="B309" t="s">
        <v>2219</v>
      </c>
      <c r="F309" t="s">
        <v>2349</v>
      </c>
      <c r="G309" t="s">
        <v>2571</v>
      </c>
    </row>
    <row r="310" spans="2:7" x14ac:dyDescent="0.35">
      <c r="B310" t="s">
        <v>2226</v>
      </c>
      <c r="F310" t="s">
        <v>2352</v>
      </c>
      <c r="G310" t="s">
        <v>2596</v>
      </c>
    </row>
    <row r="311" spans="2:7" x14ac:dyDescent="0.35">
      <c r="B311" t="s">
        <v>2232</v>
      </c>
      <c r="F311" t="s">
        <v>2358</v>
      </c>
      <c r="G311" t="s">
        <v>2600</v>
      </c>
    </row>
    <row r="312" spans="2:7" x14ac:dyDescent="0.35">
      <c r="B312" t="s">
        <v>2235</v>
      </c>
      <c r="F312" t="s">
        <v>2376</v>
      </c>
      <c r="G312" t="s">
        <v>2612</v>
      </c>
    </row>
    <row r="313" spans="2:7" x14ac:dyDescent="0.35">
      <c r="B313" t="s">
        <v>2238</v>
      </c>
      <c r="F313" t="s">
        <v>2378</v>
      </c>
      <c r="G313" t="s">
        <v>2616</v>
      </c>
    </row>
    <row r="314" spans="2:7" x14ac:dyDescent="0.35">
      <c r="B314" t="s">
        <v>2241</v>
      </c>
      <c r="F314" t="s">
        <v>2398</v>
      </c>
      <c r="G314" t="s">
        <v>2623</v>
      </c>
    </row>
    <row r="315" spans="2:7" x14ac:dyDescent="0.35">
      <c r="B315" t="s">
        <v>2248</v>
      </c>
      <c r="F315" t="s">
        <v>2400</v>
      </c>
      <c r="G315" t="s">
        <v>2634</v>
      </c>
    </row>
    <row r="316" spans="2:7" x14ac:dyDescent="0.35">
      <c r="B316" t="s">
        <v>2252</v>
      </c>
      <c r="F316" t="s">
        <v>2408</v>
      </c>
      <c r="G316" t="s">
        <v>2646</v>
      </c>
    </row>
    <row r="317" spans="2:7" x14ac:dyDescent="0.35">
      <c r="B317" t="s">
        <v>2257</v>
      </c>
      <c r="F317" t="s">
        <v>2412</v>
      </c>
      <c r="G317" t="s">
        <v>2653</v>
      </c>
    </row>
    <row r="318" spans="2:7" x14ac:dyDescent="0.35">
      <c r="B318" t="s">
        <v>2266</v>
      </c>
      <c r="F318" t="s">
        <v>2419</v>
      </c>
      <c r="G318" t="s">
        <v>2662</v>
      </c>
    </row>
    <row r="319" spans="2:7" x14ac:dyDescent="0.35">
      <c r="B319" t="s">
        <v>2270</v>
      </c>
      <c r="F319" t="s">
        <v>2424</v>
      </c>
      <c r="G319" t="s">
        <v>2675</v>
      </c>
    </row>
    <row r="320" spans="2:7" x14ac:dyDescent="0.35">
      <c r="B320" t="s">
        <v>2271</v>
      </c>
      <c r="F320" t="s">
        <v>2429</v>
      </c>
      <c r="G320" t="s">
        <v>2685</v>
      </c>
    </row>
    <row r="321" spans="2:7" x14ac:dyDescent="0.35">
      <c r="B321" t="s">
        <v>2272</v>
      </c>
      <c r="F321" t="s">
        <v>2439</v>
      </c>
      <c r="G321" t="s">
        <v>2698</v>
      </c>
    </row>
    <row r="322" spans="2:7" x14ac:dyDescent="0.35">
      <c r="B322" t="s">
        <v>2278</v>
      </c>
      <c r="F322" t="s">
        <v>2454</v>
      </c>
      <c r="G322" t="s">
        <v>2704</v>
      </c>
    </row>
    <row r="323" spans="2:7" x14ac:dyDescent="0.35">
      <c r="B323" t="s">
        <v>2285</v>
      </c>
      <c r="F323" t="s">
        <v>2460</v>
      </c>
      <c r="G323" t="s">
        <v>2715</v>
      </c>
    </row>
    <row r="324" spans="2:7" x14ac:dyDescent="0.35">
      <c r="B324" t="s">
        <v>2297</v>
      </c>
      <c r="F324" t="s">
        <v>2473</v>
      </c>
      <c r="G324" t="s">
        <v>2720</v>
      </c>
    </row>
    <row r="325" spans="2:7" x14ac:dyDescent="0.35">
      <c r="B325" t="s">
        <v>2301</v>
      </c>
      <c r="F325" t="s">
        <v>2487</v>
      </c>
      <c r="G325" t="s">
        <v>2722</v>
      </c>
    </row>
    <row r="326" spans="2:7" x14ac:dyDescent="0.35">
      <c r="B326" t="s">
        <v>2308</v>
      </c>
      <c r="F326" t="s">
        <v>2496</v>
      </c>
      <c r="G326" t="s">
        <v>2729</v>
      </c>
    </row>
    <row r="327" spans="2:7" x14ac:dyDescent="0.35">
      <c r="B327" t="s">
        <v>2313</v>
      </c>
      <c r="F327" t="s">
        <v>2504</v>
      </c>
      <c r="G327" t="s">
        <v>2747</v>
      </c>
    </row>
    <row r="328" spans="2:7" x14ac:dyDescent="0.35">
      <c r="B328" t="s">
        <v>2314</v>
      </c>
      <c r="F328" t="s">
        <v>2514</v>
      </c>
      <c r="G328" t="s">
        <v>2750</v>
      </c>
    </row>
    <row r="329" spans="2:7" x14ac:dyDescent="0.35">
      <c r="B329" t="s">
        <v>2324</v>
      </c>
      <c r="F329" t="s">
        <v>2530</v>
      </c>
      <c r="G329" t="s">
        <v>2755</v>
      </c>
    </row>
    <row r="330" spans="2:7" x14ac:dyDescent="0.35">
      <c r="B330" t="s">
        <v>2331</v>
      </c>
      <c r="F330" t="s">
        <v>2535</v>
      </c>
      <c r="G330" t="s">
        <v>2763</v>
      </c>
    </row>
    <row r="331" spans="2:7" x14ac:dyDescent="0.35">
      <c r="B331" t="s">
        <v>2340</v>
      </c>
      <c r="F331" t="s">
        <v>2555</v>
      </c>
      <c r="G331" t="s">
        <v>2764</v>
      </c>
    </row>
    <row r="332" spans="2:7" x14ac:dyDescent="0.35">
      <c r="B332" t="s">
        <v>2345</v>
      </c>
      <c r="F332" t="s">
        <v>2559</v>
      </c>
      <c r="G332" t="s">
        <v>2767</v>
      </c>
    </row>
    <row r="333" spans="2:7" x14ac:dyDescent="0.35">
      <c r="B333" t="s">
        <v>2355</v>
      </c>
      <c r="F333" t="s">
        <v>2563</v>
      </c>
      <c r="G333" t="s">
        <v>2777</v>
      </c>
    </row>
    <row r="334" spans="2:7" x14ac:dyDescent="0.35">
      <c r="B334" t="s">
        <v>2360</v>
      </c>
      <c r="F334" t="s">
        <v>2564</v>
      </c>
      <c r="G334" t="s">
        <v>2789</v>
      </c>
    </row>
    <row r="335" spans="2:7" x14ac:dyDescent="0.35">
      <c r="B335" t="s">
        <v>2366</v>
      </c>
      <c r="F335" t="s">
        <v>2565</v>
      </c>
      <c r="G335" t="s">
        <v>2790</v>
      </c>
    </row>
    <row r="336" spans="2:7" x14ac:dyDescent="0.35">
      <c r="B336" t="s">
        <v>2377</v>
      </c>
      <c r="F336" t="s">
        <v>2569</v>
      </c>
      <c r="G336" t="s">
        <v>2795</v>
      </c>
    </row>
    <row r="337" spans="2:7" x14ac:dyDescent="0.35">
      <c r="B337" t="s">
        <v>2388</v>
      </c>
      <c r="F337" t="s">
        <v>2583</v>
      </c>
      <c r="G337" t="s">
        <v>2799</v>
      </c>
    </row>
    <row r="338" spans="2:7" x14ac:dyDescent="0.35">
      <c r="B338" t="s">
        <v>2392</v>
      </c>
      <c r="F338" t="s">
        <v>2588</v>
      </c>
      <c r="G338" t="s">
        <v>2807</v>
      </c>
    </row>
    <row r="339" spans="2:7" x14ac:dyDescent="0.35">
      <c r="B339" t="s">
        <v>2396</v>
      </c>
      <c r="F339" t="s">
        <v>2606</v>
      </c>
      <c r="G339" t="s">
        <v>2815</v>
      </c>
    </row>
    <row r="340" spans="2:7" x14ac:dyDescent="0.35">
      <c r="B340" t="s">
        <v>2405</v>
      </c>
      <c r="F340" t="s">
        <v>2619</v>
      </c>
      <c r="G340" t="s">
        <v>2825</v>
      </c>
    </row>
    <row r="341" spans="2:7" x14ac:dyDescent="0.35">
      <c r="B341" t="s">
        <v>2410</v>
      </c>
      <c r="F341" t="s">
        <v>2628</v>
      </c>
      <c r="G341" t="s">
        <v>2840</v>
      </c>
    </row>
    <row r="342" spans="2:7" x14ac:dyDescent="0.35">
      <c r="B342" t="s">
        <v>2416</v>
      </c>
      <c r="F342" t="s">
        <v>2635</v>
      </c>
      <c r="G342" t="s">
        <v>2847</v>
      </c>
    </row>
    <row r="343" spans="2:7" x14ac:dyDescent="0.35">
      <c r="B343" t="s">
        <v>2421</v>
      </c>
      <c r="F343" t="s">
        <v>2639</v>
      </c>
      <c r="G343" t="s">
        <v>2854</v>
      </c>
    </row>
    <row r="344" spans="2:7" x14ac:dyDescent="0.35">
      <c r="B344" t="s">
        <v>2425</v>
      </c>
      <c r="F344" t="s">
        <v>2641</v>
      </c>
      <c r="G344" t="s">
        <v>2858</v>
      </c>
    </row>
    <row r="345" spans="2:7" x14ac:dyDescent="0.35">
      <c r="B345" t="s">
        <v>2428</v>
      </c>
      <c r="F345" t="s">
        <v>2659</v>
      </c>
      <c r="G345" t="s">
        <v>2864</v>
      </c>
    </row>
    <row r="346" spans="2:7" x14ac:dyDescent="0.35">
      <c r="B346" t="s">
        <v>2438</v>
      </c>
      <c r="F346" t="s">
        <v>2667</v>
      </c>
      <c r="G346" t="s">
        <v>2869</v>
      </c>
    </row>
    <row r="347" spans="2:7" x14ac:dyDescent="0.35">
      <c r="B347" t="s">
        <v>1092</v>
      </c>
      <c r="F347" t="s">
        <v>2671</v>
      </c>
      <c r="G347" t="s">
        <v>2883</v>
      </c>
    </row>
    <row r="348" spans="2:7" x14ac:dyDescent="0.35">
      <c r="B348" t="s">
        <v>2442</v>
      </c>
      <c r="F348" t="s">
        <v>2679</v>
      </c>
      <c r="G348" t="s">
        <v>2892</v>
      </c>
    </row>
    <row r="349" spans="2:7" x14ac:dyDescent="0.35">
      <c r="B349" t="s">
        <v>2448</v>
      </c>
      <c r="F349" t="s">
        <v>2682</v>
      </c>
      <c r="G349" t="s">
        <v>2898</v>
      </c>
    </row>
    <row r="350" spans="2:7" x14ac:dyDescent="0.35">
      <c r="B350" t="s">
        <v>2455</v>
      </c>
      <c r="F350" t="s">
        <v>2686</v>
      </c>
      <c r="G350" t="s">
        <v>2907</v>
      </c>
    </row>
    <row r="351" spans="2:7" x14ac:dyDescent="0.35">
      <c r="B351" t="s">
        <v>2457</v>
      </c>
      <c r="F351" t="s">
        <v>2699</v>
      </c>
      <c r="G351" t="s">
        <v>2910</v>
      </c>
    </row>
    <row r="352" spans="2:7" x14ac:dyDescent="0.35">
      <c r="B352" t="s">
        <v>2465</v>
      </c>
      <c r="F352" t="s">
        <v>2707</v>
      </c>
      <c r="G352" t="s">
        <v>2919</v>
      </c>
    </row>
    <row r="353" spans="2:7" x14ac:dyDescent="0.35">
      <c r="B353" t="s">
        <v>2466</v>
      </c>
      <c r="F353" t="s">
        <v>2713</v>
      </c>
      <c r="G353" t="s">
        <v>2930</v>
      </c>
    </row>
    <row r="354" spans="2:7" x14ac:dyDescent="0.35">
      <c r="B354" t="s">
        <v>2471</v>
      </c>
      <c r="F354" t="s">
        <v>2724</v>
      </c>
      <c r="G354" t="s">
        <v>2934</v>
      </c>
    </row>
    <row r="355" spans="2:7" x14ac:dyDescent="0.35">
      <c r="B355" t="s">
        <v>2483</v>
      </c>
      <c r="F355" t="s">
        <v>2735</v>
      </c>
      <c r="G355" t="s">
        <v>2942</v>
      </c>
    </row>
    <row r="356" spans="2:7" x14ac:dyDescent="0.35">
      <c r="B356" t="s">
        <v>2490</v>
      </c>
      <c r="F356" t="s">
        <v>2746</v>
      </c>
      <c r="G356" t="s">
        <v>2949</v>
      </c>
    </row>
    <row r="357" spans="2:7" x14ac:dyDescent="0.35">
      <c r="B357" t="s">
        <v>2494</v>
      </c>
      <c r="F357" t="s">
        <v>2749</v>
      </c>
      <c r="G357" t="s">
        <v>2958</v>
      </c>
    </row>
    <row r="358" spans="2:7" x14ac:dyDescent="0.35">
      <c r="B358" t="s">
        <v>2495</v>
      </c>
      <c r="F358" t="s">
        <v>2754</v>
      </c>
      <c r="G358" t="s">
        <v>2962</v>
      </c>
    </row>
    <row r="359" spans="2:7" x14ac:dyDescent="0.35">
      <c r="B359" t="s">
        <v>2500</v>
      </c>
      <c r="F359" t="s">
        <v>2769</v>
      </c>
      <c r="G359" t="s">
        <v>2976</v>
      </c>
    </row>
    <row r="360" spans="2:7" x14ac:dyDescent="0.35">
      <c r="B360" t="s">
        <v>2502</v>
      </c>
      <c r="F360" t="s">
        <v>2780</v>
      </c>
      <c r="G360" t="s">
        <v>2981</v>
      </c>
    </row>
    <row r="361" spans="2:7" x14ac:dyDescent="0.35">
      <c r="B361" t="s">
        <v>2507</v>
      </c>
      <c r="F361" t="s">
        <v>2791</v>
      </c>
      <c r="G361" t="s">
        <v>2987</v>
      </c>
    </row>
    <row r="362" spans="2:7" x14ac:dyDescent="0.35">
      <c r="B362" t="s">
        <v>2508</v>
      </c>
      <c r="F362" t="s">
        <v>2797</v>
      </c>
      <c r="G362" t="s">
        <v>2990</v>
      </c>
    </row>
    <row r="363" spans="2:7" x14ac:dyDescent="0.35">
      <c r="B363" t="s">
        <v>2516</v>
      </c>
      <c r="F363" t="s">
        <v>2818</v>
      </c>
      <c r="G363" t="s">
        <v>2996</v>
      </c>
    </row>
    <row r="364" spans="2:7" x14ac:dyDescent="0.35">
      <c r="B364" t="s">
        <v>2522</v>
      </c>
      <c r="F364" t="s">
        <v>2804</v>
      </c>
      <c r="G364" t="s">
        <v>3002</v>
      </c>
    </row>
    <row r="365" spans="2:7" x14ac:dyDescent="0.35">
      <c r="B365" t="s">
        <v>2525</v>
      </c>
      <c r="F365" t="s">
        <v>2831</v>
      </c>
      <c r="G365" t="s">
        <v>2952</v>
      </c>
    </row>
    <row r="366" spans="2:7" x14ac:dyDescent="0.35">
      <c r="B366" t="s">
        <v>2533</v>
      </c>
      <c r="F366" t="s">
        <v>2837</v>
      </c>
      <c r="G366" t="s">
        <v>3011</v>
      </c>
    </row>
    <row r="367" spans="2:7" x14ac:dyDescent="0.35">
      <c r="B367" t="s">
        <v>2534</v>
      </c>
      <c r="F367" t="s">
        <v>2849</v>
      </c>
      <c r="G367" t="s">
        <v>3016</v>
      </c>
    </row>
    <row r="368" spans="2:7" x14ac:dyDescent="0.35">
      <c r="B368" t="s">
        <v>2537</v>
      </c>
      <c r="F368" t="s">
        <v>2851</v>
      </c>
      <c r="G368" t="s">
        <v>3040</v>
      </c>
    </row>
    <row r="369" spans="2:7" x14ac:dyDescent="0.35">
      <c r="B369" t="s">
        <v>2538</v>
      </c>
      <c r="F369" t="s">
        <v>2857</v>
      </c>
      <c r="G369" t="s">
        <v>3046</v>
      </c>
    </row>
    <row r="370" spans="2:7" x14ac:dyDescent="0.35">
      <c r="B370" t="s">
        <v>2543</v>
      </c>
      <c r="F370" t="s">
        <v>2878</v>
      </c>
      <c r="G370" t="s">
        <v>3050</v>
      </c>
    </row>
    <row r="371" spans="2:7" x14ac:dyDescent="0.35">
      <c r="B371" t="s">
        <v>2549</v>
      </c>
      <c r="F371" t="s">
        <v>2881</v>
      </c>
      <c r="G371" t="s">
        <v>3060</v>
      </c>
    </row>
    <row r="372" spans="2:7" x14ac:dyDescent="0.35">
      <c r="B372" t="s">
        <v>2552</v>
      </c>
      <c r="F372" t="s">
        <v>2882</v>
      </c>
      <c r="G372" t="s">
        <v>3064</v>
      </c>
    </row>
    <row r="373" spans="2:7" x14ac:dyDescent="0.35">
      <c r="B373" t="s">
        <v>2556</v>
      </c>
      <c r="F373" t="s">
        <v>2886</v>
      </c>
      <c r="G373" t="s">
        <v>3073</v>
      </c>
    </row>
    <row r="374" spans="2:7" x14ac:dyDescent="0.35">
      <c r="B374" t="s">
        <v>2561</v>
      </c>
      <c r="F374" t="s">
        <v>2905</v>
      </c>
      <c r="G374" t="s">
        <v>3073</v>
      </c>
    </row>
    <row r="375" spans="2:7" x14ac:dyDescent="0.35">
      <c r="B375" t="s">
        <v>2568</v>
      </c>
      <c r="F375" t="s">
        <v>2917</v>
      </c>
      <c r="G375" t="s">
        <v>3079</v>
      </c>
    </row>
    <row r="376" spans="2:7" x14ac:dyDescent="0.35">
      <c r="B376" t="s">
        <v>2570</v>
      </c>
      <c r="F376" t="s">
        <v>2924</v>
      </c>
      <c r="G376" t="s">
        <v>3073</v>
      </c>
    </row>
    <row r="377" spans="2:7" x14ac:dyDescent="0.35">
      <c r="B377" t="s">
        <v>2574</v>
      </c>
      <c r="F377" t="s">
        <v>2936</v>
      </c>
      <c r="G377" t="s">
        <v>3073</v>
      </c>
    </row>
    <row r="378" spans="2:7" x14ac:dyDescent="0.35">
      <c r="B378" t="s">
        <v>2579</v>
      </c>
      <c r="F378" t="s">
        <v>2939</v>
      </c>
      <c r="G378" t="s">
        <v>3073</v>
      </c>
    </row>
    <row r="379" spans="2:7" x14ac:dyDescent="0.35">
      <c r="B379" t="s">
        <v>2580</v>
      </c>
      <c r="F379" t="s">
        <v>2950</v>
      </c>
      <c r="G379" t="s">
        <v>3073</v>
      </c>
    </row>
    <row r="380" spans="2:7" x14ac:dyDescent="0.35">
      <c r="B380" t="s">
        <v>2585</v>
      </c>
      <c r="F380" t="s">
        <v>2951</v>
      </c>
      <c r="G380" t="s">
        <v>3073</v>
      </c>
    </row>
    <row r="381" spans="2:7" x14ac:dyDescent="0.35">
      <c r="B381" t="s">
        <v>2589</v>
      </c>
      <c r="F381" t="s">
        <v>2952</v>
      </c>
      <c r="G381" t="s">
        <v>3073</v>
      </c>
    </row>
    <row r="382" spans="2:7" x14ac:dyDescent="0.35">
      <c r="B382" t="s">
        <v>2592</v>
      </c>
      <c r="F382" t="s">
        <v>2954</v>
      </c>
      <c r="G382" t="s">
        <v>3073</v>
      </c>
    </row>
    <row r="383" spans="2:7" x14ac:dyDescent="0.35">
      <c r="B383" t="s">
        <v>2598</v>
      </c>
      <c r="F383" t="s">
        <v>2955</v>
      </c>
      <c r="G383" t="s">
        <v>3102</v>
      </c>
    </row>
    <row r="384" spans="2:7" x14ac:dyDescent="0.35">
      <c r="B384" t="s">
        <v>2602</v>
      </c>
      <c r="F384" t="s">
        <v>2956</v>
      </c>
      <c r="G384" t="s">
        <v>3073</v>
      </c>
    </row>
    <row r="385" spans="2:7" x14ac:dyDescent="0.35">
      <c r="B385" t="s">
        <v>2605</v>
      </c>
      <c r="F385" t="s">
        <v>2957</v>
      </c>
      <c r="G385" t="s">
        <v>3073</v>
      </c>
    </row>
    <row r="386" spans="2:7" x14ac:dyDescent="0.35">
      <c r="B386" t="s">
        <v>2607</v>
      </c>
      <c r="F386" t="s">
        <v>2960</v>
      </c>
      <c r="G386" t="s">
        <v>3112</v>
      </c>
    </row>
    <row r="387" spans="2:7" x14ac:dyDescent="0.35">
      <c r="B387" t="s">
        <v>2611</v>
      </c>
      <c r="F387" t="s">
        <v>2961</v>
      </c>
      <c r="G387" t="s">
        <v>3115</v>
      </c>
    </row>
    <row r="388" spans="2:7" x14ac:dyDescent="0.35">
      <c r="B388" t="s">
        <v>2622</v>
      </c>
      <c r="F388" t="s">
        <v>2963</v>
      </c>
      <c r="G388" t="s">
        <v>3123</v>
      </c>
    </row>
    <row r="389" spans="2:7" x14ac:dyDescent="0.35">
      <c r="B389" t="s">
        <v>2626</v>
      </c>
      <c r="F389" t="s">
        <v>2964</v>
      </c>
      <c r="G389" t="s">
        <v>3127</v>
      </c>
    </row>
    <row r="390" spans="2:7" x14ac:dyDescent="0.35">
      <c r="B390" t="s">
        <v>2631</v>
      </c>
      <c r="F390" t="s">
        <v>2973</v>
      </c>
      <c r="G390" t="s">
        <v>3138</v>
      </c>
    </row>
    <row r="391" spans="2:7" x14ac:dyDescent="0.35">
      <c r="B391" t="s">
        <v>2636</v>
      </c>
      <c r="F391" t="s">
        <v>2984</v>
      </c>
      <c r="G391" t="s">
        <v>3141</v>
      </c>
    </row>
    <row r="392" spans="2:7" x14ac:dyDescent="0.35">
      <c r="B392" t="s">
        <v>2643</v>
      </c>
      <c r="F392" t="s">
        <v>2993</v>
      </c>
      <c r="G392" t="s">
        <v>3146</v>
      </c>
    </row>
    <row r="393" spans="2:7" x14ac:dyDescent="0.35">
      <c r="B393" t="s">
        <v>2649</v>
      </c>
      <c r="F393" t="s">
        <v>3000</v>
      </c>
      <c r="G393" t="s">
        <v>3151</v>
      </c>
    </row>
    <row r="394" spans="2:7" x14ac:dyDescent="0.35">
      <c r="B394" t="s">
        <v>2656</v>
      </c>
      <c r="F394" t="s">
        <v>3005</v>
      </c>
      <c r="G394" t="s">
        <v>3155</v>
      </c>
    </row>
    <row r="395" spans="2:7" x14ac:dyDescent="0.35">
      <c r="B395" t="s">
        <v>2665</v>
      </c>
      <c r="F395" t="s">
        <v>3020</v>
      </c>
      <c r="G395" t="s">
        <v>3161</v>
      </c>
    </row>
    <row r="396" spans="2:7" x14ac:dyDescent="0.35">
      <c r="B396" t="s">
        <v>2674</v>
      </c>
      <c r="F396" t="s">
        <v>3027</v>
      </c>
      <c r="G396" t="s">
        <v>3164</v>
      </c>
    </row>
    <row r="397" spans="2:7" x14ac:dyDescent="0.35">
      <c r="B397" t="s">
        <v>2678</v>
      </c>
      <c r="F397" t="s">
        <v>3030</v>
      </c>
      <c r="G397" t="s">
        <v>3164</v>
      </c>
    </row>
    <row r="398" spans="2:7" x14ac:dyDescent="0.35">
      <c r="B398" t="s">
        <v>2680</v>
      </c>
      <c r="F398" t="s">
        <v>3035</v>
      </c>
      <c r="G398" t="s">
        <v>3172</v>
      </c>
    </row>
    <row r="399" spans="2:7" x14ac:dyDescent="0.35">
      <c r="B399" t="s">
        <v>2684</v>
      </c>
      <c r="F399" t="s">
        <v>3039</v>
      </c>
      <c r="G399" t="s">
        <v>3174</v>
      </c>
    </row>
    <row r="400" spans="2:7" x14ac:dyDescent="0.35">
      <c r="B400" t="s">
        <v>2688</v>
      </c>
      <c r="F400" t="s">
        <v>3044</v>
      </c>
      <c r="G400" t="s">
        <v>3177</v>
      </c>
    </row>
    <row r="401" spans="2:7" x14ac:dyDescent="0.35">
      <c r="B401" t="s">
        <v>2690</v>
      </c>
      <c r="F401" t="s">
        <v>3048</v>
      </c>
      <c r="G401" t="s">
        <v>3183</v>
      </c>
    </row>
    <row r="402" spans="2:7" x14ac:dyDescent="0.35">
      <c r="B402" t="s">
        <v>2693</v>
      </c>
      <c r="F402" t="s">
        <v>3055</v>
      </c>
      <c r="G402" t="s">
        <v>3183</v>
      </c>
    </row>
    <row r="403" spans="2:7" x14ac:dyDescent="0.35">
      <c r="B403" t="s">
        <v>2695</v>
      </c>
      <c r="F403" t="s">
        <v>3058</v>
      </c>
      <c r="G403" t="s">
        <v>3188</v>
      </c>
    </row>
    <row r="404" spans="2:7" x14ac:dyDescent="0.35">
      <c r="B404" t="s">
        <v>2696</v>
      </c>
      <c r="F404" t="s">
        <v>3066</v>
      </c>
      <c r="G404" t="s">
        <v>3189</v>
      </c>
    </row>
    <row r="405" spans="2:7" x14ac:dyDescent="0.35">
      <c r="B405" t="s">
        <v>2700</v>
      </c>
      <c r="F405" t="s">
        <v>3072</v>
      </c>
      <c r="G405" t="s">
        <v>3189</v>
      </c>
    </row>
    <row r="406" spans="2:7" x14ac:dyDescent="0.35">
      <c r="B406" t="s">
        <v>2705</v>
      </c>
      <c r="F406" t="s">
        <v>3087</v>
      </c>
      <c r="G406" t="s">
        <v>3196</v>
      </c>
    </row>
    <row r="407" spans="2:7" x14ac:dyDescent="0.35">
      <c r="B407" t="s">
        <v>2714</v>
      </c>
      <c r="F407" t="s">
        <v>3090</v>
      </c>
      <c r="G407" t="s">
        <v>3198</v>
      </c>
    </row>
    <row r="408" spans="2:7" x14ac:dyDescent="0.35">
      <c r="B408" t="s">
        <v>2719</v>
      </c>
      <c r="F408" t="s">
        <v>3094</v>
      </c>
      <c r="G408" t="s">
        <v>3202</v>
      </c>
    </row>
    <row r="409" spans="2:7" x14ac:dyDescent="0.35">
      <c r="B409" t="s">
        <v>2727</v>
      </c>
      <c r="F409" t="s">
        <v>3100</v>
      </c>
      <c r="G409" t="s">
        <v>3204</v>
      </c>
    </row>
    <row r="410" spans="2:7" x14ac:dyDescent="0.35">
      <c r="B410" t="s">
        <v>2728</v>
      </c>
      <c r="F410" t="s">
        <v>3104</v>
      </c>
      <c r="G410" t="s">
        <v>3204</v>
      </c>
    </row>
    <row r="411" spans="2:7" x14ac:dyDescent="0.35">
      <c r="B411" t="s">
        <v>2732</v>
      </c>
      <c r="F411" t="s">
        <v>3109</v>
      </c>
      <c r="G411" t="s">
        <v>3204</v>
      </c>
    </row>
    <row r="412" spans="2:7" x14ac:dyDescent="0.35">
      <c r="B412" t="s">
        <v>2741</v>
      </c>
      <c r="F412" t="s">
        <v>3111</v>
      </c>
      <c r="G412" t="s">
        <v>3213</v>
      </c>
    </row>
    <row r="413" spans="2:7" x14ac:dyDescent="0.35">
      <c r="B413" t="s">
        <v>2744</v>
      </c>
      <c r="F413" t="s">
        <v>3122</v>
      </c>
      <c r="G413" t="s">
        <v>3221</v>
      </c>
    </row>
    <row r="414" spans="2:7" x14ac:dyDescent="0.35">
      <c r="B414" t="s">
        <v>2751</v>
      </c>
      <c r="F414" t="s">
        <v>3135</v>
      </c>
      <c r="G414" t="s">
        <v>3223</v>
      </c>
    </row>
    <row r="415" spans="2:7" x14ac:dyDescent="0.35">
      <c r="B415" t="s">
        <v>2761</v>
      </c>
      <c r="F415" t="s">
        <v>3136</v>
      </c>
      <c r="G415" t="s">
        <v>3228</v>
      </c>
    </row>
    <row r="416" spans="2:7" x14ac:dyDescent="0.35">
      <c r="B416" t="s">
        <v>2772</v>
      </c>
      <c r="F416" t="s">
        <v>3145</v>
      </c>
      <c r="G416" t="s">
        <v>3233</v>
      </c>
    </row>
    <row r="417" spans="2:7" x14ac:dyDescent="0.35">
      <c r="B417" t="s">
        <v>2774</v>
      </c>
      <c r="F417" t="s">
        <v>3153</v>
      </c>
      <c r="G417" t="s">
        <v>3237</v>
      </c>
    </row>
    <row r="418" spans="2:7" x14ac:dyDescent="0.35">
      <c r="B418" t="s">
        <v>2783</v>
      </c>
      <c r="F418" t="s">
        <v>3159</v>
      </c>
      <c r="G418" t="s">
        <v>3240</v>
      </c>
    </row>
    <row r="419" spans="2:7" x14ac:dyDescent="0.35">
      <c r="B419" t="s">
        <v>2786</v>
      </c>
      <c r="F419" t="s">
        <v>3160</v>
      </c>
      <c r="G419" t="s">
        <v>3254</v>
      </c>
    </row>
    <row r="420" spans="2:7" x14ac:dyDescent="0.35">
      <c r="B420" t="s">
        <v>2793</v>
      </c>
      <c r="F420" t="s">
        <v>3160</v>
      </c>
      <c r="G420" t="s">
        <v>3258</v>
      </c>
    </row>
    <row r="421" spans="2:7" x14ac:dyDescent="0.35">
      <c r="B421" t="s">
        <v>2802</v>
      </c>
      <c r="F421" t="s">
        <v>3171</v>
      </c>
      <c r="G421" t="s">
        <v>3263</v>
      </c>
    </row>
    <row r="422" spans="2:7" x14ac:dyDescent="0.35">
      <c r="B422" t="s">
        <v>2812</v>
      </c>
      <c r="F422" t="s">
        <v>3181</v>
      </c>
      <c r="G422" t="s">
        <v>3265</v>
      </c>
    </row>
    <row r="423" spans="2:7" x14ac:dyDescent="0.35">
      <c r="B423" t="s">
        <v>2824</v>
      </c>
      <c r="F423" t="s">
        <v>3182</v>
      </c>
      <c r="G423" t="s">
        <v>3272</v>
      </c>
    </row>
    <row r="424" spans="2:7" x14ac:dyDescent="0.35">
      <c r="B424" t="s">
        <v>2826</v>
      </c>
      <c r="F424" t="s">
        <v>3194</v>
      </c>
      <c r="G424" t="s">
        <v>3274</v>
      </c>
    </row>
    <row r="425" spans="2:7" x14ac:dyDescent="0.35">
      <c r="B425" t="s">
        <v>2829</v>
      </c>
      <c r="F425" t="s">
        <v>3159</v>
      </c>
      <c r="G425" t="s">
        <v>3277</v>
      </c>
    </row>
    <row r="426" spans="2:7" x14ac:dyDescent="0.35">
      <c r="B426" t="s">
        <v>2834</v>
      </c>
      <c r="F426" t="s">
        <v>3212</v>
      </c>
      <c r="G426" t="s">
        <v>3281</v>
      </c>
    </row>
    <row r="427" spans="2:7" x14ac:dyDescent="0.35">
      <c r="B427" t="s">
        <v>2845</v>
      </c>
      <c r="F427" t="s">
        <v>3220</v>
      </c>
      <c r="G427" t="s">
        <v>3283</v>
      </c>
    </row>
    <row r="428" spans="2:7" x14ac:dyDescent="0.35">
      <c r="B428" t="s">
        <v>2861</v>
      </c>
      <c r="F428" t="s">
        <v>3227</v>
      </c>
      <c r="G428" t="s">
        <v>3287</v>
      </c>
    </row>
    <row r="429" spans="2:7" x14ac:dyDescent="0.35">
      <c r="B429" t="s">
        <v>2866</v>
      </c>
      <c r="F429" t="s">
        <v>3232</v>
      </c>
      <c r="G429" t="s">
        <v>3290</v>
      </c>
    </row>
    <row r="430" spans="2:7" x14ac:dyDescent="0.35">
      <c r="B430" t="s">
        <v>2873</v>
      </c>
      <c r="F430" t="s">
        <v>3236</v>
      </c>
      <c r="G430" t="s">
        <v>3293</v>
      </c>
    </row>
    <row r="431" spans="2:7" x14ac:dyDescent="0.35">
      <c r="B431" t="s">
        <v>2874</v>
      </c>
      <c r="F431" t="s">
        <v>3248</v>
      </c>
      <c r="G431" t="s">
        <v>3298</v>
      </c>
    </row>
    <row r="432" spans="2:7" x14ac:dyDescent="0.35">
      <c r="B432" t="s">
        <v>2877</v>
      </c>
      <c r="F432" t="s">
        <v>3159</v>
      </c>
      <c r="G432" t="s">
        <v>3301</v>
      </c>
    </row>
    <row r="433" spans="2:7" x14ac:dyDescent="0.35">
      <c r="B433" t="s">
        <v>2889</v>
      </c>
      <c r="F433" t="s">
        <v>3253</v>
      </c>
      <c r="G433" t="s">
        <v>3308</v>
      </c>
    </row>
    <row r="434" spans="2:7" x14ac:dyDescent="0.35">
      <c r="B434" t="s">
        <v>2895</v>
      </c>
      <c r="F434" t="s">
        <v>3262</v>
      </c>
      <c r="G434" t="s">
        <v>3318</v>
      </c>
    </row>
    <row r="435" spans="2:7" x14ac:dyDescent="0.35">
      <c r="B435" t="s">
        <v>2902</v>
      </c>
      <c r="F435" t="s">
        <v>3271</v>
      </c>
      <c r="G435" t="s">
        <v>3321</v>
      </c>
    </row>
    <row r="436" spans="2:7" x14ac:dyDescent="0.35">
      <c r="B436" t="s">
        <v>2913</v>
      </c>
      <c r="F436" t="s">
        <v>3280</v>
      </c>
      <c r="G436" t="s">
        <v>3329</v>
      </c>
    </row>
    <row r="437" spans="2:7" x14ac:dyDescent="0.35">
      <c r="B437" t="s">
        <v>2927</v>
      </c>
      <c r="F437" t="s">
        <v>3285</v>
      </c>
      <c r="G437" t="s">
        <v>3334</v>
      </c>
    </row>
    <row r="438" spans="2:7" x14ac:dyDescent="0.35">
      <c r="B438" t="s">
        <v>2945</v>
      </c>
      <c r="F438" t="s">
        <v>3289</v>
      </c>
      <c r="G438" t="s">
        <v>3338</v>
      </c>
    </row>
    <row r="439" spans="2:7" x14ac:dyDescent="0.35">
      <c r="B439" t="s">
        <v>2948</v>
      </c>
      <c r="F439" t="s">
        <v>3297</v>
      </c>
      <c r="G439" t="s">
        <v>3342</v>
      </c>
    </row>
    <row r="440" spans="2:7" x14ac:dyDescent="0.35">
      <c r="B440" t="s">
        <v>2966</v>
      </c>
      <c r="F440" t="s">
        <v>3306</v>
      </c>
      <c r="G440" t="s">
        <v>3338</v>
      </c>
    </row>
    <row r="441" spans="2:7" x14ac:dyDescent="0.35">
      <c r="B441" t="s">
        <v>2970</v>
      </c>
      <c r="F441" t="s">
        <v>3307</v>
      </c>
      <c r="G441" t="s">
        <v>3344</v>
      </c>
    </row>
    <row r="442" spans="2:7" x14ac:dyDescent="0.35">
      <c r="B442" t="s">
        <v>2980</v>
      </c>
      <c r="F442" t="s">
        <v>3313</v>
      </c>
      <c r="G442" t="s">
        <v>3347</v>
      </c>
    </row>
    <row r="443" spans="2:7" x14ac:dyDescent="0.35">
      <c r="B443" t="s">
        <v>2995</v>
      </c>
      <c r="F443" t="s">
        <v>3319</v>
      </c>
      <c r="G443" t="s">
        <v>3356</v>
      </c>
    </row>
    <row r="444" spans="2:7" x14ac:dyDescent="0.35">
      <c r="B444" t="s">
        <v>3004</v>
      </c>
      <c r="F444" t="s">
        <v>3328</v>
      </c>
      <c r="G444" t="s">
        <v>3366</v>
      </c>
    </row>
    <row r="445" spans="2:7" x14ac:dyDescent="0.35">
      <c r="B445" t="s">
        <v>3008</v>
      </c>
      <c r="F445" t="s">
        <v>3341</v>
      </c>
      <c r="G445" t="s">
        <v>3369</v>
      </c>
    </row>
    <row r="446" spans="2:7" x14ac:dyDescent="0.35">
      <c r="B446" t="s">
        <v>3010</v>
      </c>
      <c r="F446" t="s">
        <v>3351</v>
      </c>
      <c r="G446" t="s">
        <v>3378</v>
      </c>
    </row>
    <row r="447" spans="2:7" x14ac:dyDescent="0.35">
      <c r="B447" t="s">
        <v>3014</v>
      </c>
      <c r="F447" t="s">
        <v>3355</v>
      </c>
      <c r="G447" t="s">
        <v>3382</v>
      </c>
    </row>
    <row r="448" spans="2:7" x14ac:dyDescent="0.35">
      <c r="B448" t="s">
        <v>3017</v>
      </c>
      <c r="F448" t="s">
        <v>3153</v>
      </c>
      <c r="G448" t="s">
        <v>3391</v>
      </c>
    </row>
    <row r="449" spans="2:7" x14ac:dyDescent="0.35">
      <c r="B449" t="s">
        <v>3024</v>
      </c>
      <c r="F449" t="s">
        <v>3159</v>
      </c>
      <c r="G449" t="s">
        <v>3394</v>
      </c>
    </row>
    <row r="450" spans="2:7" x14ac:dyDescent="0.35">
      <c r="B450" t="s">
        <v>3032</v>
      </c>
      <c r="F450" t="s">
        <v>3368</v>
      </c>
      <c r="G450" t="s">
        <v>3406</v>
      </c>
    </row>
    <row r="451" spans="2:7" x14ac:dyDescent="0.35">
      <c r="B451" t="s">
        <v>3038</v>
      </c>
      <c r="F451" t="s">
        <v>3381</v>
      </c>
      <c r="G451" t="s">
        <v>3410</v>
      </c>
    </row>
    <row r="452" spans="2:7" x14ac:dyDescent="0.35">
      <c r="B452" t="s">
        <v>3041</v>
      </c>
      <c r="F452" t="s">
        <v>3401</v>
      </c>
      <c r="G452" t="s">
        <v>3412</v>
      </c>
    </row>
    <row r="453" spans="2:7" x14ac:dyDescent="0.35">
      <c r="B453" t="s">
        <v>3030</v>
      </c>
      <c r="F453" t="s">
        <v>3405</v>
      </c>
      <c r="G453" t="s">
        <v>3417</v>
      </c>
    </row>
    <row r="454" spans="2:7" x14ac:dyDescent="0.35">
      <c r="B454" t="s">
        <v>3045</v>
      </c>
      <c r="F454" t="s">
        <v>3159</v>
      </c>
      <c r="G454" t="s">
        <v>3420</v>
      </c>
    </row>
    <row r="455" spans="2:7" x14ac:dyDescent="0.35">
      <c r="B455" t="s">
        <v>3035</v>
      </c>
      <c r="F455" t="s">
        <v>3409</v>
      </c>
      <c r="G455" t="s">
        <v>3423</v>
      </c>
    </row>
    <row r="456" spans="2:7" x14ac:dyDescent="0.35">
      <c r="B456" t="s">
        <v>3063</v>
      </c>
      <c r="F456" t="s">
        <v>3415</v>
      </c>
      <c r="G456" t="s">
        <v>3427</v>
      </c>
    </row>
    <row r="457" spans="2:7" x14ac:dyDescent="0.35">
      <c r="B457" t="s">
        <v>3078</v>
      </c>
      <c r="F457" t="s">
        <v>3416</v>
      </c>
      <c r="G457" t="s">
        <v>3436</v>
      </c>
    </row>
    <row r="458" spans="2:7" x14ac:dyDescent="0.35">
      <c r="B458" t="s">
        <v>3101</v>
      </c>
      <c r="F458" t="s">
        <v>3430</v>
      </c>
      <c r="G458" t="s">
        <v>3437</v>
      </c>
    </row>
    <row r="459" spans="2:7" x14ac:dyDescent="0.35">
      <c r="B459" t="s">
        <v>3108</v>
      </c>
      <c r="F459" t="s">
        <v>3440</v>
      </c>
      <c r="G459" t="s">
        <v>3441</v>
      </c>
    </row>
    <row r="460" spans="2:7" x14ac:dyDescent="0.35">
      <c r="B460" t="s">
        <v>3119</v>
      </c>
      <c r="F460" t="s">
        <v>3159</v>
      </c>
      <c r="G460" t="s">
        <v>3444</v>
      </c>
    </row>
    <row r="461" spans="2:7" x14ac:dyDescent="0.35">
      <c r="B461" t="s">
        <v>3130</v>
      </c>
      <c r="F461" t="s">
        <v>3447</v>
      </c>
      <c r="G461" t="s">
        <v>3450</v>
      </c>
    </row>
    <row r="462" spans="2:7" x14ac:dyDescent="0.35">
      <c r="B462" t="s">
        <v>3169</v>
      </c>
      <c r="F462" t="s">
        <v>3457</v>
      </c>
      <c r="G462" t="s">
        <v>3454</v>
      </c>
    </row>
    <row r="463" spans="2:7" x14ac:dyDescent="0.35">
      <c r="B463" t="s">
        <v>3176</v>
      </c>
      <c r="F463" t="s">
        <v>3464</v>
      </c>
      <c r="G463" t="s">
        <v>3459</v>
      </c>
    </row>
    <row r="464" spans="2:7" x14ac:dyDescent="0.35">
      <c r="B464" t="s">
        <v>3181</v>
      </c>
      <c r="F464" t="s">
        <v>3469</v>
      </c>
      <c r="G464" t="s">
        <v>3461</v>
      </c>
    </row>
    <row r="465" spans="2:7" x14ac:dyDescent="0.35">
      <c r="B465" t="s">
        <v>3195</v>
      </c>
      <c r="F465" t="s">
        <v>3470</v>
      </c>
      <c r="G465" t="s">
        <v>3465</v>
      </c>
    </row>
    <row r="466" spans="2:7" x14ac:dyDescent="0.35">
      <c r="B466" t="s">
        <v>3218</v>
      </c>
      <c r="F466" t="s">
        <v>3470</v>
      </c>
      <c r="G466" t="s">
        <v>3466</v>
      </c>
    </row>
    <row r="467" spans="2:7" x14ac:dyDescent="0.35">
      <c r="B467" t="s">
        <v>3222</v>
      </c>
      <c r="F467" t="s">
        <v>3483</v>
      </c>
      <c r="G467" t="s">
        <v>3471</v>
      </c>
    </row>
    <row r="468" spans="2:7" x14ac:dyDescent="0.35">
      <c r="B468" t="s">
        <v>3231</v>
      </c>
      <c r="F468" t="s">
        <v>3159</v>
      </c>
      <c r="G468" t="s">
        <v>3474</v>
      </c>
    </row>
    <row r="469" spans="2:7" x14ac:dyDescent="0.35">
      <c r="B469" t="s">
        <v>3247</v>
      </c>
      <c r="F469" t="s">
        <v>3457</v>
      </c>
      <c r="G469" t="s">
        <v>3478</v>
      </c>
    </row>
    <row r="470" spans="2:7" x14ac:dyDescent="0.35">
      <c r="B470" t="s">
        <v>3257</v>
      </c>
      <c r="F470" t="s">
        <v>3464</v>
      </c>
      <c r="G470" t="s">
        <v>3479</v>
      </c>
    </row>
    <row r="471" spans="2:7" x14ac:dyDescent="0.35">
      <c r="B471" t="s">
        <v>3278</v>
      </c>
      <c r="F471" t="s">
        <v>3501</v>
      </c>
      <c r="G471" t="s">
        <v>3484</v>
      </c>
    </row>
    <row r="472" spans="2:7" x14ac:dyDescent="0.35">
      <c r="B472" t="s">
        <v>3286</v>
      </c>
      <c r="F472" t="s">
        <v>3504</v>
      </c>
      <c r="G472" t="s">
        <v>3485</v>
      </c>
    </row>
    <row r="473" spans="2:7" x14ac:dyDescent="0.35">
      <c r="B473" t="s">
        <v>3295</v>
      </c>
      <c r="F473" t="s">
        <v>3512</v>
      </c>
      <c r="G473" t="s">
        <v>3488</v>
      </c>
    </row>
    <row r="474" spans="2:7" x14ac:dyDescent="0.35">
      <c r="B474" t="s">
        <v>3305</v>
      </c>
      <c r="F474" t="s">
        <v>3515</v>
      </c>
      <c r="G474" t="s">
        <v>3497</v>
      </c>
    </row>
    <row r="475" spans="2:7" x14ac:dyDescent="0.35">
      <c r="B475" t="s">
        <v>3317</v>
      </c>
      <c r="F475" t="s">
        <v>3368</v>
      </c>
      <c r="G475" t="s">
        <v>3498</v>
      </c>
    </row>
    <row r="476" spans="2:7" x14ac:dyDescent="0.35">
      <c r="B476" t="s">
        <v>3353</v>
      </c>
      <c r="F476" t="s">
        <v>3532</v>
      </c>
      <c r="G476" t="s">
        <v>3502</v>
      </c>
    </row>
    <row r="477" spans="2:7" x14ac:dyDescent="0.35">
      <c r="B477" t="s">
        <v>3354</v>
      </c>
      <c r="F477" t="s">
        <v>3549</v>
      </c>
      <c r="G477" t="s">
        <v>3508</v>
      </c>
    </row>
    <row r="478" spans="2:7" x14ac:dyDescent="0.35">
      <c r="B478" t="s">
        <v>3375</v>
      </c>
      <c r="F478" t="s">
        <v>3405</v>
      </c>
      <c r="G478" t="s">
        <v>3511</v>
      </c>
    </row>
    <row r="479" spans="2:7" x14ac:dyDescent="0.35">
      <c r="B479" t="s">
        <v>3385</v>
      </c>
      <c r="F479" t="s">
        <v>3159</v>
      </c>
      <c r="G479" t="s">
        <v>3514</v>
      </c>
    </row>
    <row r="480" spans="2:7" x14ac:dyDescent="0.35">
      <c r="B480" t="s">
        <v>3397</v>
      </c>
      <c r="F480" t="s">
        <v>3253</v>
      </c>
      <c r="G480" t="s">
        <v>3516</v>
      </c>
    </row>
    <row r="481" spans="2:7" x14ac:dyDescent="0.35">
      <c r="B481" t="s">
        <v>3411</v>
      </c>
      <c r="F481" t="s">
        <v>3569</v>
      </c>
      <c r="G481" t="s">
        <v>3516</v>
      </c>
    </row>
    <row r="482" spans="2:7" x14ac:dyDescent="0.35">
      <c r="B482" t="s">
        <v>3426</v>
      </c>
      <c r="F482" t="s">
        <v>3571</v>
      </c>
      <c r="G482" t="s">
        <v>3516</v>
      </c>
    </row>
    <row r="483" spans="2:7" x14ac:dyDescent="0.35">
      <c r="B483" t="s">
        <v>3458</v>
      </c>
      <c r="F483" t="s">
        <v>3579</v>
      </c>
      <c r="G483" t="s">
        <v>3523</v>
      </c>
    </row>
    <row r="484" spans="2:7" x14ac:dyDescent="0.35">
      <c r="B484" t="s">
        <v>3477</v>
      </c>
      <c r="F484" t="s">
        <v>3581</v>
      </c>
      <c r="G484" t="s">
        <v>3534</v>
      </c>
    </row>
    <row r="485" spans="2:7" x14ac:dyDescent="0.35">
      <c r="B485" t="s">
        <v>3496</v>
      </c>
      <c r="F485" t="s">
        <v>3594</v>
      </c>
      <c r="G485" t="s">
        <v>3537</v>
      </c>
    </row>
    <row r="486" spans="2:7" x14ac:dyDescent="0.35">
      <c r="B486" t="s">
        <v>3531</v>
      </c>
      <c r="F486" t="s">
        <v>3600</v>
      </c>
      <c r="G486" t="s">
        <v>3540</v>
      </c>
    </row>
    <row r="487" spans="2:7" x14ac:dyDescent="0.35">
      <c r="B487" t="s">
        <v>3538</v>
      </c>
      <c r="F487" t="s">
        <v>3603</v>
      </c>
      <c r="G487" t="s">
        <v>3544</v>
      </c>
    </row>
    <row r="488" spans="2:7" x14ac:dyDescent="0.35">
      <c r="B488" t="s">
        <v>3546</v>
      </c>
      <c r="F488" t="s">
        <v>3492</v>
      </c>
      <c r="G488" t="s">
        <v>3554</v>
      </c>
    </row>
    <row r="489" spans="2:7" x14ac:dyDescent="0.35">
      <c r="B489" t="s">
        <v>3550</v>
      </c>
      <c r="F489" t="s">
        <v>3611</v>
      </c>
      <c r="G489" t="s">
        <v>3557</v>
      </c>
    </row>
    <row r="490" spans="2:7" x14ac:dyDescent="0.35">
      <c r="B490" t="s">
        <v>3572</v>
      </c>
      <c r="F490" t="s">
        <v>3631</v>
      </c>
      <c r="G490" t="s">
        <v>3561</v>
      </c>
    </row>
    <row r="491" spans="2:7" x14ac:dyDescent="0.35">
      <c r="B491" t="s">
        <v>3582</v>
      </c>
      <c r="F491" t="s">
        <v>3639</v>
      </c>
      <c r="G491" t="s">
        <v>3564</v>
      </c>
    </row>
    <row r="492" spans="2:7" x14ac:dyDescent="0.35">
      <c r="B492" t="s">
        <v>3599</v>
      </c>
      <c r="F492" t="s">
        <v>3159</v>
      </c>
      <c r="G492" t="s">
        <v>3567</v>
      </c>
    </row>
    <row r="493" spans="2:7" x14ac:dyDescent="0.35">
      <c r="B493" t="s">
        <v>3601</v>
      </c>
      <c r="F493" t="s">
        <v>3647</v>
      </c>
      <c r="G493" t="s">
        <v>3573</v>
      </c>
    </row>
    <row r="494" spans="2:7" x14ac:dyDescent="0.35">
      <c r="B494" t="s">
        <v>3602</v>
      </c>
      <c r="F494" t="s">
        <v>3659</v>
      </c>
      <c r="G494" t="s">
        <v>3576</v>
      </c>
    </row>
    <row r="495" spans="2:7" x14ac:dyDescent="0.35">
      <c r="B495" t="s">
        <v>3609</v>
      </c>
      <c r="F495" t="s">
        <v>3664</v>
      </c>
      <c r="G495" t="s">
        <v>3583</v>
      </c>
    </row>
    <row r="496" spans="2:7" x14ac:dyDescent="0.35">
      <c r="B496" t="s">
        <v>3617</v>
      </c>
      <c r="F496" t="s">
        <v>3678</v>
      </c>
      <c r="G496" t="s">
        <v>3583</v>
      </c>
    </row>
    <row r="497" spans="2:7" x14ac:dyDescent="0.35">
      <c r="B497" t="s">
        <v>3625</v>
      </c>
      <c r="F497" t="s">
        <v>3681</v>
      </c>
      <c r="G497" t="s">
        <v>3588</v>
      </c>
    </row>
    <row r="498" spans="2:7" x14ac:dyDescent="0.35">
      <c r="B498" t="s">
        <v>3632</v>
      </c>
      <c r="F498" t="s">
        <v>3681</v>
      </c>
      <c r="G498" t="s">
        <v>3591</v>
      </c>
    </row>
    <row r="499" spans="2:7" x14ac:dyDescent="0.35">
      <c r="B499" t="s">
        <v>3648</v>
      </c>
      <c r="F499" t="s">
        <v>3693</v>
      </c>
      <c r="G499" t="s">
        <v>3596</v>
      </c>
    </row>
    <row r="500" spans="2:7" x14ac:dyDescent="0.35">
      <c r="B500" t="s">
        <v>3669</v>
      </c>
      <c r="F500" t="s">
        <v>3701</v>
      </c>
      <c r="G500" t="s">
        <v>3604</v>
      </c>
    </row>
    <row r="501" spans="2:7" x14ac:dyDescent="0.35">
      <c r="B501" t="s">
        <v>3676</v>
      </c>
      <c r="F501" t="s">
        <v>3253</v>
      </c>
      <c r="G501" t="s">
        <v>3606</v>
      </c>
    </row>
    <row r="502" spans="2:7" x14ac:dyDescent="0.35">
      <c r="B502" t="s">
        <v>3677</v>
      </c>
      <c r="F502" t="s">
        <v>3464</v>
      </c>
      <c r="G502" t="s">
        <v>3612</v>
      </c>
    </row>
    <row r="503" spans="2:7" x14ac:dyDescent="0.35">
      <c r="B503" t="s">
        <v>3688</v>
      </c>
      <c r="F503" t="s">
        <v>3724</v>
      </c>
      <c r="G503" t="s">
        <v>3615</v>
      </c>
    </row>
    <row r="504" spans="2:7" x14ac:dyDescent="0.35">
      <c r="B504" t="s">
        <v>3691</v>
      </c>
      <c r="F504" t="s">
        <v>3736</v>
      </c>
      <c r="G504" t="s">
        <v>3620</v>
      </c>
    </row>
    <row r="505" spans="2:7" x14ac:dyDescent="0.35">
      <c r="B505" t="s">
        <v>3697</v>
      </c>
      <c r="F505" t="s">
        <v>3740</v>
      </c>
      <c r="G505" t="s">
        <v>3623</v>
      </c>
    </row>
    <row r="506" spans="2:7" x14ac:dyDescent="0.35">
      <c r="B506" t="s">
        <v>3714</v>
      </c>
      <c r="F506" t="s">
        <v>3253</v>
      </c>
      <c r="G506" t="s">
        <v>3626</v>
      </c>
    </row>
    <row r="507" spans="2:7" x14ac:dyDescent="0.35">
      <c r="B507" t="s">
        <v>3719</v>
      </c>
      <c r="F507" t="s">
        <v>3755</v>
      </c>
      <c r="G507" t="s">
        <v>3626</v>
      </c>
    </row>
    <row r="508" spans="2:7" x14ac:dyDescent="0.35">
      <c r="B508" t="s">
        <v>3731</v>
      </c>
      <c r="F508" t="s">
        <v>3756</v>
      </c>
      <c r="G508" t="s">
        <v>3635</v>
      </c>
    </row>
    <row r="509" spans="2:7" x14ac:dyDescent="0.35">
      <c r="B509" t="s">
        <v>3735</v>
      </c>
      <c r="F509" t="s">
        <v>3763</v>
      </c>
      <c r="G509" t="s">
        <v>3073</v>
      </c>
    </row>
    <row r="510" spans="2:7" x14ac:dyDescent="0.35">
      <c r="B510" t="s">
        <v>3754</v>
      </c>
      <c r="F510" t="s">
        <v>3780</v>
      </c>
      <c r="G510" t="s">
        <v>3338</v>
      </c>
    </row>
    <row r="511" spans="2:7" x14ac:dyDescent="0.35">
      <c r="B511" t="s">
        <v>3765</v>
      </c>
      <c r="F511" t="s">
        <v>3602</v>
      </c>
      <c r="G511" t="s">
        <v>3338</v>
      </c>
    </row>
    <row r="512" spans="2:7" x14ac:dyDescent="0.35">
      <c r="B512" t="s">
        <v>3779</v>
      </c>
      <c r="F512" t="s">
        <v>3159</v>
      </c>
      <c r="G512" t="s">
        <v>3338</v>
      </c>
    </row>
    <row r="513" spans="2:7" x14ac:dyDescent="0.35">
      <c r="B513" t="s">
        <v>3784</v>
      </c>
      <c r="F513" t="s">
        <v>3253</v>
      </c>
      <c r="G513" t="s">
        <v>3338</v>
      </c>
    </row>
    <row r="514" spans="2:7" x14ac:dyDescent="0.35">
      <c r="B514" t="s">
        <v>3788</v>
      </c>
      <c r="F514" t="s">
        <v>3793</v>
      </c>
      <c r="G514" t="s">
        <v>3338</v>
      </c>
    </row>
    <row r="515" spans="2:7" x14ac:dyDescent="0.35">
      <c r="B515" t="s">
        <v>3807</v>
      </c>
      <c r="F515" t="s">
        <v>3800</v>
      </c>
      <c r="G515" t="s">
        <v>3338</v>
      </c>
    </row>
    <row r="516" spans="2:7" x14ac:dyDescent="0.35">
      <c r="B516" t="s">
        <v>3827</v>
      </c>
      <c r="F516" t="s">
        <v>3736</v>
      </c>
      <c r="G516" t="s">
        <v>3338</v>
      </c>
    </row>
    <row r="517" spans="2:7" x14ac:dyDescent="0.35">
      <c r="B517" t="s">
        <v>3828</v>
      </c>
      <c r="F517" t="s">
        <v>3736</v>
      </c>
      <c r="G517" t="s">
        <v>3338</v>
      </c>
    </row>
    <row r="518" spans="2:7" x14ac:dyDescent="0.35">
      <c r="B518" t="s">
        <v>3830</v>
      </c>
      <c r="F518" t="s">
        <v>3818</v>
      </c>
      <c r="G518" t="s">
        <v>3662</v>
      </c>
    </row>
    <row r="519" spans="2:7" x14ac:dyDescent="0.35">
      <c r="B519" t="s">
        <v>3836</v>
      </c>
      <c r="F519" t="s">
        <v>3826</v>
      </c>
      <c r="G519" t="s">
        <v>3338</v>
      </c>
    </row>
    <row r="520" spans="2:7" x14ac:dyDescent="0.35">
      <c r="B520" t="s">
        <v>3849</v>
      </c>
      <c r="F520" t="s">
        <v>3829</v>
      </c>
      <c r="G520" t="s">
        <v>3338</v>
      </c>
    </row>
    <row r="521" spans="2:7" x14ac:dyDescent="0.35">
      <c r="B521" t="s">
        <v>3862</v>
      </c>
      <c r="F521" t="s">
        <v>3492</v>
      </c>
      <c r="G521" t="s">
        <v>3338</v>
      </c>
    </row>
    <row r="522" spans="2:7" x14ac:dyDescent="0.35">
      <c r="B522" t="s">
        <v>3875</v>
      </c>
      <c r="F522" t="s">
        <v>3843</v>
      </c>
      <c r="G522" t="s">
        <v>3338</v>
      </c>
    </row>
    <row r="523" spans="2:7" x14ac:dyDescent="0.35">
      <c r="B523" t="s">
        <v>3884</v>
      </c>
      <c r="F523" t="s">
        <v>3856</v>
      </c>
      <c r="G523" t="s">
        <v>3338</v>
      </c>
    </row>
    <row r="524" spans="2:7" x14ac:dyDescent="0.35">
      <c r="B524" t="s">
        <v>3893</v>
      </c>
      <c r="F524" t="s">
        <v>3868</v>
      </c>
      <c r="G524" t="s">
        <v>3338</v>
      </c>
    </row>
    <row r="525" spans="2:7" x14ac:dyDescent="0.35">
      <c r="B525" t="s">
        <v>3904</v>
      </c>
      <c r="F525" t="s">
        <v>3876</v>
      </c>
      <c r="G525" t="s">
        <v>3338</v>
      </c>
    </row>
    <row r="526" spans="2:7" x14ac:dyDescent="0.35">
      <c r="B526" t="s">
        <v>3916</v>
      </c>
      <c r="F526" t="s">
        <v>3159</v>
      </c>
      <c r="G526" t="s">
        <v>3687</v>
      </c>
    </row>
    <row r="527" spans="2:7" x14ac:dyDescent="0.35">
      <c r="B527" t="s">
        <v>3933</v>
      </c>
      <c r="F527" t="s">
        <v>3492</v>
      </c>
      <c r="G527" t="s">
        <v>3690</v>
      </c>
    </row>
    <row r="528" spans="2:7" x14ac:dyDescent="0.35">
      <c r="B528" t="s">
        <v>3950</v>
      </c>
      <c r="F528" t="s">
        <v>3492</v>
      </c>
      <c r="G528" t="s">
        <v>3338</v>
      </c>
    </row>
    <row r="529" spans="2:7" x14ac:dyDescent="0.35">
      <c r="B529" t="s">
        <v>3964</v>
      </c>
      <c r="F529" t="s">
        <v>3843</v>
      </c>
      <c r="G529" t="s">
        <v>3338</v>
      </c>
    </row>
    <row r="530" spans="2:7" x14ac:dyDescent="0.35">
      <c r="B530" t="s">
        <v>3973</v>
      </c>
      <c r="F530" t="s">
        <v>3899</v>
      </c>
      <c r="G530" t="s">
        <v>3073</v>
      </c>
    </row>
    <row r="531" spans="2:7" x14ac:dyDescent="0.35">
      <c r="B531" t="s">
        <v>3985</v>
      </c>
      <c r="F531" t="s">
        <v>3910</v>
      </c>
      <c r="G531" t="s">
        <v>3338</v>
      </c>
    </row>
    <row r="532" spans="2:7" x14ac:dyDescent="0.35">
      <c r="B532" t="s">
        <v>3997</v>
      </c>
      <c r="F532" t="s">
        <v>3159</v>
      </c>
      <c r="G532" t="s">
        <v>3708</v>
      </c>
    </row>
    <row r="533" spans="2:7" x14ac:dyDescent="0.35">
      <c r="B533" t="s">
        <v>4007</v>
      </c>
      <c r="F533" t="s">
        <v>3368</v>
      </c>
      <c r="G533" t="s">
        <v>3711</v>
      </c>
    </row>
    <row r="534" spans="2:7" x14ac:dyDescent="0.35">
      <c r="B534" t="s">
        <v>4029</v>
      </c>
      <c r="F534" t="s">
        <v>3843</v>
      </c>
      <c r="G534" t="s">
        <v>3716</v>
      </c>
    </row>
    <row r="535" spans="2:7" x14ac:dyDescent="0.35">
      <c r="B535" t="s">
        <v>4047</v>
      </c>
      <c r="F535" t="s">
        <v>3942</v>
      </c>
      <c r="G535" t="s">
        <v>3720</v>
      </c>
    </row>
    <row r="536" spans="2:7" x14ac:dyDescent="0.35">
      <c r="B536" t="s">
        <v>4054</v>
      </c>
      <c r="F536" t="s">
        <v>3868</v>
      </c>
      <c r="G536" t="s">
        <v>3725</v>
      </c>
    </row>
    <row r="537" spans="2:7" x14ac:dyDescent="0.35">
      <c r="B537" t="s">
        <v>4070</v>
      </c>
      <c r="F537" t="s">
        <v>3159</v>
      </c>
      <c r="G537" t="s">
        <v>3732</v>
      </c>
    </row>
    <row r="538" spans="2:7" x14ac:dyDescent="0.35">
      <c r="B538" t="s">
        <v>4079</v>
      </c>
      <c r="F538" t="s">
        <v>3492</v>
      </c>
      <c r="G538" t="s">
        <v>3741</v>
      </c>
    </row>
    <row r="539" spans="2:7" x14ac:dyDescent="0.35">
      <c r="B539" t="s">
        <v>4084</v>
      </c>
      <c r="F539" t="s">
        <v>3843</v>
      </c>
      <c r="G539" t="s">
        <v>3743</v>
      </c>
    </row>
    <row r="540" spans="2:7" x14ac:dyDescent="0.35">
      <c r="B540" t="s">
        <v>4096</v>
      </c>
      <c r="F540" t="s">
        <v>3979</v>
      </c>
      <c r="G540" t="s">
        <v>3747</v>
      </c>
    </row>
    <row r="541" spans="2:7" x14ac:dyDescent="0.35">
      <c r="B541" t="s">
        <v>4101</v>
      </c>
      <c r="F541" t="s">
        <v>3868</v>
      </c>
      <c r="G541" t="s">
        <v>3749</v>
      </c>
    </row>
    <row r="542" spans="2:7" x14ac:dyDescent="0.35">
      <c r="B542" t="s">
        <v>4118</v>
      </c>
      <c r="F542" t="s">
        <v>3159</v>
      </c>
      <c r="G542" t="s">
        <v>3757</v>
      </c>
    </row>
    <row r="543" spans="2:7" x14ac:dyDescent="0.35">
      <c r="B543" t="s">
        <v>4139</v>
      </c>
      <c r="F543" t="s">
        <v>3253</v>
      </c>
      <c r="G543" t="s">
        <v>3760</v>
      </c>
    </row>
    <row r="544" spans="2:7" x14ac:dyDescent="0.35">
      <c r="B544" t="s">
        <v>4156</v>
      </c>
      <c r="F544" t="s">
        <v>4011</v>
      </c>
      <c r="G544" t="s">
        <v>3766</v>
      </c>
    </row>
    <row r="545" spans="2:7" x14ac:dyDescent="0.35">
      <c r="B545" t="s">
        <v>4166</v>
      </c>
      <c r="F545" t="s">
        <v>4022</v>
      </c>
      <c r="G545" t="s">
        <v>3769</v>
      </c>
    </row>
    <row r="546" spans="2:7" x14ac:dyDescent="0.35">
      <c r="B546" t="s">
        <v>4177</v>
      </c>
      <c r="F546" t="s">
        <v>4030</v>
      </c>
      <c r="G546" t="s">
        <v>3772</v>
      </c>
    </row>
    <row r="547" spans="2:7" x14ac:dyDescent="0.35">
      <c r="B547" t="s">
        <v>4184</v>
      </c>
      <c r="F547" t="s">
        <v>3153</v>
      </c>
      <c r="G547" t="s">
        <v>3776</v>
      </c>
    </row>
    <row r="548" spans="2:7" x14ac:dyDescent="0.35">
      <c r="F548" t="s">
        <v>4042</v>
      </c>
      <c r="G548" t="s">
        <v>3781</v>
      </c>
    </row>
    <row r="549" spans="2:7" x14ac:dyDescent="0.35">
      <c r="F549" t="s">
        <v>3843</v>
      </c>
      <c r="G549" t="s">
        <v>3785</v>
      </c>
    </row>
    <row r="550" spans="2:7" x14ac:dyDescent="0.35">
      <c r="F550" t="s">
        <v>4057</v>
      </c>
      <c r="G550" t="s">
        <v>3792</v>
      </c>
    </row>
    <row r="551" spans="2:7" x14ac:dyDescent="0.35">
      <c r="F551" t="s">
        <v>3868</v>
      </c>
      <c r="G551" t="s">
        <v>3792</v>
      </c>
    </row>
    <row r="552" spans="2:7" x14ac:dyDescent="0.35">
      <c r="F552" t="s">
        <v>3159</v>
      </c>
      <c r="G552" t="s">
        <v>3794</v>
      </c>
    </row>
    <row r="553" spans="2:7" x14ac:dyDescent="0.35">
      <c r="F553" t="s">
        <v>3253</v>
      </c>
      <c r="G553" t="s">
        <v>3797</v>
      </c>
    </row>
    <row r="554" spans="2:7" x14ac:dyDescent="0.35">
      <c r="F554" t="s">
        <v>4011</v>
      </c>
      <c r="G554" t="s">
        <v>3804</v>
      </c>
    </row>
    <row r="555" spans="2:7" x14ac:dyDescent="0.35">
      <c r="F555" t="s">
        <v>4091</v>
      </c>
      <c r="G555" t="s">
        <v>3808</v>
      </c>
    </row>
    <row r="556" spans="2:7" x14ac:dyDescent="0.35">
      <c r="F556" t="s">
        <v>3736</v>
      </c>
      <c r="G556" t="s">
        <v>3810</v>
      </c>
    </row>
    <row r="557" spans="2:7" x14ac:dyDescent="0.35">
      <c r="F557" t="s">
        <v>4108</v>
      </c>
      <c r="G557" t="s">
        <v>3813</v>
      </c>
    </row>
    <row r="558" spans="2:7" x14ac:dyDescent="0.35">
      <c r="F558" t="s">
        <v>4110</v>
      </c>
      <c r="G558" t="s">
        <v>3819</v>
      </c>
    </row>
    <row r="559" spans="2:7" x14ac:dyDescent="0.35">
      <c r="F559" t="s">
        <v>4111</v>
      </c>
      <c r="G559" t="s">
        <v>3822</v>
      </c>
    </row>
    <row r="560" spans="2:7" x14ac:dyDescent="0.35">
      <c r="F560" t="s">
        <v>2882</v>
      </c>
      <c r="G560" t="s">
        <v>3831</v>
      </c>
    </row>
    <row r="561" spans="6:7" x14ac:dyDescent="0.35">
      <c r="F561" t="s">
        <v>2882</v>
      </c>
      <c r="G561" t="s">
        <v>3831</v>
      </c>
    </row>
    <row r="562" spans="6:7" x14ac:dyDescent="0.35">
      <c r="F562" t="s">
        <v>2882</v>
      </c>
      <c r="G562" t="s">
        <v>3838</v>
      </c>
    </row>
    <row r="563" spans="6:7" x14ac:dyDescent="0.35">
      <c r="F563" t="s">
        <v>2882</v>
      </c>
      <c r="G563" t="s">
        <v>3838</v>
      </c>
    </row>
    <row r="564" spans="6:7" x14ac:dyDescent="0.35">
      <c r="F564" t="s">
        <v>2882</v>
      </c>
      <c r="G564" t="s">
        <v>3844</v>
      </c>
    </row>
    <row r="565" spans="6:7" x14ac:dyDescent="0.35">
      <c r="F565" t="s">
        <v>2882</v>
      </c>
      <c r="G565" t="s">
        <v>3844</v>
      </c>
    </row>
    <row r="566" spans="6:7" x14ac:dyDescent="0.35">
      <c r="F566" t="s">
        <v>2882</v>
      </c>
      <c r="G566" t="s">
        <v>3851</v>
      </c>
    </row>
    <row r="567" spans="6:7" x14ac:dyDescent="0.35">
      <c r="F567" t="s">
        <v>2882</v>
      </c>
      <c r="G567" t="s">
        <v>3851</v>
      </c>
    </row>
    <row r="568" spans="6:7" x14ac:dyDescent="0.35">
      <c r="F568" t="s">
        <v>2882</v>
      </c>
      <c r="G568" t="s">
        <v>3857</v>
      </c>
    </row>
    <row r="569" spans="6:7" x14ac:dyDescent="0.35">
      <c r="F569" t="s">
        <v>2882</v>
      </c>
      <c r="G569" t="s">
        <v>3857</v>
      </c>
    </row>
    <row r="570" spans="6:7" x14ac:dyDescent="0.35">
      <c r="F570" t="s">
        <v>2882</v>
      </c>
      <c r="G570" t="s">
        <v>3863</v>
      </c>
    </row>
    <row r="571" spans="6:7" x14ac:dyDescent="0.35">
      <c r="F571" t="s">
        <v>2882</v>
      </c>
      <c r="G571" t="s">
        <v>3863</v>
      </c>
    </row>
    <row r="572" spans="6:7" x14ac:dyDescent="0.35">
      <c r="F572" t="s">
        <v>2882</v>
      </c>
      <c r="G572" t="s">
        <v>3869</v>
      </c>
    </row>
    <row r="573" spans="6:7" x14ac:dyDescent="0.35">
      <c r="F573" t="s">
        <v>2882</v>
      </c>
      <c r="G573" t="s">
        <v>3872</v>
      </c>
    </row>
    <row r="574" spans="6:7" x14ac:dyDescent="0.35">
      <c r="F574" t="s">
        <v>2882</v>
      </c>
      <c r="G574" t="s">
        <v>3879</v>
      </c>
    </row>
    <row r="575" spans="6:7" x14ac:dyDescent="0.35">
      <c r="F575" t="s">
        <v>2882</v>
      </c>
      <c r="G575" t="s">
        <v>3879</v>
      </c>
    </row>
    <row r="576" spans="6:7" x14ac:dyDescent="0.35">
      <c r="F576" t="s">
        <v>2882</v>
      </c>
      <c r="G576" t="s">
        <v>3885</v>
      </c>
    </row>
    <row r="577" spans="6:7" x14ac:dyDescent="0.35">
      <c r="F577" t="s">
        <v>2882</v>
      </c>
      <c r="G577" t="s">
        <v>3885</v>
      </c>
    </row>
    <row r="578" spans="6:7" x14ac:dyDescent="0.35">
      <c r="F578" t="s">
        <v>3492</v>
      </c>
      <c r="G578" t="s">
        <v>3890</v>
      </c>
    </row>
    <row r="579" spans="6:7" x14ac:dyDescent="0.35">
      <c r="F579" t="s">
        <v>4124</v>
      </c>
      <c r="G579" t="s">
        <v>3890</v>
      </c>
    </row>
    <row r="580" spans="6:7" x14ac:dyDescent="0.35">
      <c r="F580" t="s">
        <v>4134</v>
      </c>
      <c r="G580" t="s">
        <v>3894</v>
      </c>
    </row>
    <row r="581" spans="6:7" x14ac:dyDescent="0.35">
      <c r="F581" t="s">
        <v>3159</v>
      </c>
      <c r="G581" t="s">
        <v>3894</v>
      </c>
    </row>
    <row r="582" spans="6:7" x14ac:dyDescent="0.35">
      <c r="F582" t="s">
        <v>3492</v>
      </c>
      <c r="G582" t="s">
        <v>3900</v>
      </c>
    </row>
    <row r="583" spans="6:7" x14ac:dyDescent="0.35">
      <c r="F583" t="s">
        <v>4162</v>
      </c>
      <c r="G583" t="s">
        <v>3900</v>
      </c>
    </row>
    <row r="584" spans="6:7" x14ac:dyDescent="0.35">
      <c r="F584" t="s">
        <v>4171</v>
      </c>
      <c r="G584" t="s">
        <v>3906</v>
      </c>
    </row>
    <row r="585" spans="6:7" x14ac:dyDescent="0.35">
      <c r="F585" t="s">
        <v>3868</v>
      </c>
      <c r="G585" t="s">
        <v>3906</v>
      </c>
    </row>
    <row r="586" spans="6:7" x14ac:dyDescent="0.35">
      <c r="F586" t="s">
        <v>4186</v>
      </c>
      <c r="G586" t="s">
        <v>3911</v>
      </c>
    </row>
    <row r="587" spans="6:7" x14ac:dyDescent="0.35">
      <c r="G587" t="s">
        <v>3911</v>
      </c>
    </row>
    <row r="588" spans="6:7" x14ac:dyDescent="0.35">
      <c r="G588" t="s">
        <v>3919</v>
      </c>
    </row>
    <row r="589" spans="6:7" x14ac:dyDescent="0.35">
      <c r="G589" t="s">
        <v>3919</v>
      </c>
    </row>
    <row r="590" spans="6:7" x14ac:dyDescent="0.35">
      <c r="G590" t="s">
        <v>3922</v>
      </c>
    </row>
    <row r="591" spans="6:7" x14ac:dyDescent="0.35">
      <c r="G591" t="s">
        <v>3922</v>
      </c>
    </row>
    <row r="592" spans="6:7" x14ac:dyDescent="0.35">
      <c r="G592" t="s">
        <v>3927</v>
      </c>
    </row>
    <row r="593" spans="7:7" x14ac:dyDescent="0.35">
      <c r="G593" t="s">
        <v>3931</v>
      </c>
    </row>
    <row r="594" spans="7:7" x14ac:dyDescent="0.35">
      <c r="G594" t="s">
        <v>3934</v>
      </c>
    </row>
    <row r="595" spans="7:7" x14ac:dyDescent="0.35">
      <c r="G595" t="s">
        <v>3937</v>
      </c>
    </row>
    <row r="596" spans="7:7" x14ac:dyDescent="0.35">
      <c r="G596" t="s">
        <v>3943</v>
      </c>
    </row>
    <row r="597" spans="7:7" x14ac:dyDescent="0.35">
      <c r="G597" t="s">
        <v>3947</v>
      </c>
    </row>
    <row r="598" spans="7:7" x14ac:dyDescent="0.35">
      <c r="G598" t="s">
        <v>3951</v>
      </c>
    </row>
    <row r="599" spans="7:7" x14ac:dyDescent="0.35">
      <c r="G599" t="s">
        <v>3954</v>
      </c>
    </row>
    <row r="600" spans="7:7" x14ac:dyDescent="0.35">
      <c r="G600" t="s">
        <v>3957</v>
      </c>
    </row>
    <row r="601" spans="7:7" x14ac:dyDescent="0.35">
      <c r="G601" t="s">
        <v>3959</v>
      </c>
    </row>
    <row r="602" spans="7:7" x14ac:dyDescent="0.35">
      <c r="G602" t="s">
        <v>3959</v>
      </c>
    </row>
    <row r="603" spans="7:7" x14ac:dyDescent="0.35">
      <c r="G603" t="s">
        <v>3965</v>
      </c>
    </row>
    <row r="604" spans="7:7" x14ac:dyDescent="0.35">
      <c r="G604" t="s">
        <v>3965</v>
      </c>
    </row>
    <row r="605" spans="7:7" x14ac:dyDescent="0.35">
      <c r="G605" t="s">
        <v>3969</v>
      </c>
    </row>
    <row r="606" spans="7:7" x14ac:dyDescent="0.35">
      <c r="G606" t="s">
        <v>3969</v>
      </c>
    </row>
    <row r="607" spans="7:7" x14ac:dyDescent="0.35">
      <c r="G607" t="s">
        <v>3974</v>
      </c>
    </row>
    <row r="608" spans="7:7" x14ac:dyDescent="0.35">
      <c r="G608" t="s">
        <v>3974</v>
      </c>
    </row>
    <row r="609" spans="7:7" x14ac:dyDescent="0.35">
      <c r="G609" t="s">
        <v>3980</v>
      </c>
    </row>
    <row r="610" spans="7:7" x14ac:dyDescent="0.35">
      <c r="G610" t="s">
        <v>3980</v>
      </c>
    </row>
    <row r="611" spans="7:7" x14ac:dyDescent="0.35">
      <c r="G611" t="s">
        <v>3986</v>
      </c>
    </row>
    <row r="612" spans="7:7" x14ac:dyDescent="0.35">
      <c r="G612" t="s">
        <v>3986</v>
      </c>
    </row>
    <row r="613" spans="7:7" x14ac:dyDescent="0.35">
      <c r="G613" t="s">
        <v>3991</v>
      </c>
    </row>
    <row r="614" spans="7:7" x14ac:dyDescent="0.35">
      <c r="G614" t="s">
        <v>3994</v>
      </c>
    </row>
    <row r="615" spans="7:7" x14ac:dyDescent="0.35">
      <c r="G615" t="s">
        <v>3998</v>
      </c>
    </row>
    <row r="616" spans="7:7" x14ac:dyDescent="0.35">
      <c r="G616" t="s">
        <v>3998</v>
      </c>
    </row>
    <row r="617" spans="7:7" x14ac:dyDescent="0.35">
      <c r="G617" t="s">
        <v>4004</v>
      </c>
    </row>
    <row r="618" spans="7:7" x14ac:dyDescent="0.35">
      <c r="G618" t="s">
        <v>4012</v>
      </c>
    </row>
    <row r="619" spans="7:7" x14ac:dyDescent="0.35">
      <c r="G619" t="s">
        <v>4016</v>
      </c>
    </row>
    <row r="620" spans="7:7" x14ac:dyDescent="0.35">
      <c r="G620" t="s">
        <v>4016</v>
      </c>
    </row>
    <row r="621" spans="7:7" x14ac:dyDescent="0.35">
      <c r="G621" t="s">
        <v>4023</v>
      </c>
    </row>
    <row r="622" spans="7:7" x14ac:dyDescent="0.35">
      <c r="G622" t="s">
        <v>4031</v>
      </c>
    </row>
    <row r="623" spans="7:7" x14ac:dyDescent="0.35">
      <c r="G623" t="s">
        <v>4034</v>
      </c>
    </row>
    <row r="624" spans="7:7" x14ac:dyDescent="0.35">
      <c r="G624" t="s">
        <v>4039</v>
      </c>
    </row>
    <row r="625" spans="7:7" x14ac:dyDescent="0.35">
      <c r="G625" t="s">
        <v>4043</v>
      </c>
    </row>
    <row r="626" spans="7:7" x14ac:dyDescent="0.35">
      <c r="G626" t="s">
        <v>4043</v>
      </c>
    </row>
    <row r="627" spans="7:7" x14ac:dyDescent="0.35">
      <c r="G627" t="s">
        <v>4048</v>
      </c>
    </row>
    <row r="628" spans="7:7" x14ac:dyDescent="0.35">
      <c r="G628" t="s">
        <v>4048</v>
      </c>
    </row>
    <row r="629" spans="7:7" x14ac:dyDescent="0.35">
      <c r="G629" t="s">
        <v>4051</v>
      </c>
    </row>
    <row r="630" spans="7:7" x14ac:dyDescent="0.35">
      <c r="G630" t="s">
        <v>4051</v>
      </c>
    </row>
    <row r="631" spans="7:7" x14ac:dyDescent="0.35">
      <c r="G631" t="s">
        <v>4055</v>
      </c>
    </row>
    <row r="632" spans="7:7" x14ac:dyDescent="0.35">
      <c r="G632" t="s">
        <v>4055</v>
      </c>
    </row>
    <row r="633" spans="7:7" x14ac:dyDescent="0.35">
      <c r="G633" t="s">
        <v>4058</v>
      </c>
    </row>
    <row r="634" spans="7:7" x14ac:dyDescent="0.35">
      <c r="G634" t="s">
        <v>4058</v>
      </c>
    </row>
    <row r="635" spans="7:7" x14ac:dyDescent="0.35">
      <c r="G635" t="s">
        <v>4062</v>
      </c>
    </row>
    <row r="636" spans="7:7" x14ac:dyDescent="0.35">
      <c r="G636" t="s">
        <v>4062</v>
      </c>
    </row>
    <row r="637" spans="7:7" x14ac:dyDescent="0.35">
      <c r="G637" t="s">
        <v>4065</v>
      </c>
    </row>
    <row r="638" spans="7:7" x14ac:dyDescent="0.35">
      <c r="G638" t="s">
        <v>4065</v>
      </c>
    </row>
    <row r="639" spans="7:7" x14ac:dyDescent="0.35">
      <c r="G639" t="s">
        <v>4071</v>
      </c>
    </row>
    <row r="640" spans="7:7" x14ac:dyDescent="0.35">
      <c r="G640" t="s">
        <v>4074</v>
      </c>
    </row>
    <row r="641" spans="7:7" x14ac:dyDescent="0.35">
      <c r="G641" t="s">
        <v>4076</v>
      </c>
    </row>
    <row r="642" spans="7:7" x14ac:dyDescent="0.35">
      <c r="G642" t="s">
        <v>4083</v>
      </c>
    </row>
    <row r="643" spans="7:7" x14ac:dyDescent="0.35">
      <c r="G643" t="s">
        <v>4085</v>
      </c>
    </row>
    <row r="644" spans="7:7" x14ac:dyDescent="0.35">
      <c r="G644" t="s">
        <v>4088</v>
      </c>
    </row>
    <row r="645" spans="7:7" x14ac:dyDescent="0.35">
      <c r="G645" t="s">
        <v>4097</v>
      </c>
    </row>
    <row r="646" spans="7:7" x14ac:dyDescent="0.35">
      <c r="G646" t="s">
        <v>4097</v>
      </c>
    </row>
    <row r="647" spans="7:7" x14ac:dyDescent="0.35">
      <c r="G647" t="s">
        <v>4102</v>
      </c>
    </row>
    <row r="648" spans="7:7" x14ac:dyDescent="0.35">
      <c r="G648" t="s">
        <v>4105</v>
      </c>
    </row>
    <row r="649" spans="7:7" x14ac:dyDescent="0.35">
      <c r="G649" t="s">
        <v>4109</v>
      </c>
    </row>
    <row r="650" spans="7:7" x14ac:dyDescent="0.35">
      <c r="G650" t="s">
        <v>4115</v>
      </c>
    </row>
    <row r="651" spans="7:7" x14ac:dyDescent="0.35">
      <c r="G651" t="s">
        <v>4119</v>
      </c>
    </row>
    <row r="652" spans="7:7" x14ac:dyDescent="0.35">
      <c r="G652" t="s">
        <v>4121</v>
      </c>
    </row>
    <row r="653" spans="7:7" x14ac:dyDescent="0.35">
      <c r="G653" t="s">
        <v>4125</v>
      </c>
    </row>
    <row r="654" spans="7:7" x14ac:dyDescent="0.35">
      <c r="G654" t="s">
        <v>4128</v>
      </c>
    </row>
    <row r="655" spans="7:7" x14ac:dyDescent="0.35">
      <c r="G655" t="s">
        <v>4131</v>
      </c>
    </row>
    <row r="656" spans="7:7" x14ac:dyDescent="0.35">
      <c r="G656" t="s">
        <v>4135</v>
      </c>
    </row>
    <row r="657" spans="7:7" x14ac:dyDescent="0.35">
      <c r="G657" t="s">
        <v>4137</v>
      </c>
    </row>
    <row r="658" spans="7:7" x14ac:dyDescent="0.35">
      <c r="G658" t="s">
        <v>4141</v>
      </c>
    </row>
    <row r="659" spans="7:7" x14ac:dyDescent="0.35">
      <c r="G659" t="s">
        <v>4144</v>
      </c>
    </row>
    <row r="660" spans="7:7" x14ac:dyDescent="0.35">
      <c r="G660" t="s">
        <v>4147</v>
      </c>
    </row>
    <row r="661" spans="7:7" x14ac:dyDescent="0.35">
      <c r="G661" t="s">
        <v>4149</v>
      </c>
    </row>
    <row r="662" spans="7:7" x14ac:dyDescent="0.35">
      <c r="G662" t="s">
        <v>4152</v>
      </c>
    </row>
    <row r="663" spans="7:7" x14ac:dyDescent="0.35">
      <c r="G663" t="s">
        <v>4152</v>
      </c>
    </row>
    <row r="664" spans="7:7" x14ac:dyDescent="0.35">
      <c r="G664" t="s">
        <v>4157</v>
      </c>
    </row>
    <row r="665" spans="7:7" x14ac:dyDescent="0.35">
      <c r="G665" t="s">
        <v>4157</v>
      </c>
    </row>
    <row r="666" spans="7:7" x14ac:dyDescent="0.35">
      <c r="G666" t="s">
        <v>4163</v>
      </c>
    </row>
    <row r="667" spans="7:7" x14ac:dyDescent="0.35">
      <c r="G667" t="s">
        <v>4167</v>
      </c>
    </row>
    <row r="668" spans="7:7" x14ac:dyDescent="0.35">
      <c r="G668" t="s">
        <v>4172</v>
      </c>
    </row>
    <row r="669" spans="7:7" x14ac:dyDescent="0.35">
      <c r="G669" t="s">
        <v>4172</v>
      </c>
    </row>
    <row r="670" spans="7:7" x14ac:dyDescent="0.35">
      <c r="G670" t="s">
        <v>4178</v>
      </c>
    </row>
    <row r="671" spans="7:7" x14ac:dyDescent="0.35">
      <c r="G671" t="s">
        <v>4178</v>
      </c>
    </row>
    <row r="672" spans="7:7" x14ac:dyDescent="0.35">
      <c r="G672" t="s">
        <v>4179</v>
      </c>
    </row>
    <row r="673" spans="7:7" x14ac:dyDescent="0.35">
      <c r="G673" t="s">
        <v>4179</v>
      </c>
    </row>
    <row r="674" spans="7:7" x14ac:dyDescent="0.35">
      <c r="G674" t="s">
        <v>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workbookViewId="0">
      <selection activeCell="G14" sqref="G14"/>
    </sheetView>
  </sheetViews>
  <sheetFormatPr defaultRowHeight="14.5" x14ac:dyDescent="0.35"/>
  <cols>
    <col min="1" max="1" width="23.26953125" bestFit="1" customWidth="1"/>
  </cols>
  <sheetData>
    <row r="1" spans="1:8" x14ac:dyDescent="0.35">
      <c r="A1" s="1" t="s">
        <v>25</v>
      </c>
      <c r="B1" s="1" t="s">
        <v>4188</v>
      </c>
      <c r="G1" s="1" t="s">
        <v>3068</v>
      </c>
      <c r="H1" s="1" t="s">
        <v>4211</v>
      </c>
    </row>
    <row r="2" spans="1:8" x14ac:dyDescent="0.35">
      <c r="A2" t="s">
        <v>12</v>
      </c>
      <c r="B2" s="4" t="s">
        <v>4193</v>
      </c>
      <c r="G2" s="5" t="s">
        <v>4215</v>
      </c>
      <c r="H2" t="s">
        <v>4212</v>
      </c>
    </row>
    <row r="3" spans="1:8" x14ac:dyDescent="0.35">
      <c r="A3" t="s">
        <v>11</v>
      </c>
      <c r="B3" t="s">
        <v>4192</v>
      </c>
      <c r="G3" s="5" t="s">
        <v>4216</v>
      </c>
      <c r="H3" t="s">
        <v>4213</v>
      </c>
    </row>
    <row r="4" spans="1:8" x14ac:dyDescent="0.35">
      <c r="A4" t="s">
        <v>3491</v>
      </c>
      <c r="B4" t="s">
        <v>4197</v>
      </c>
      <c r="G4" s="5" t="s">
        <v>4217</v>
      </c>
      <c r="H4" t="s">
        <v>4214</v>
      </c>
    </row>
    <row r="5" spans="1:8" x14ac:dyDescent="0.35">
      <c r="A5" t="s">
        <v>19</v>
      </c>
      <c r="B5" t="s">
        <v>4200</v>
      </c>
      <c r="G5" s="5" t="s">
        <v>4218</v>
      </c>
    </row>
    <row r="6" spans="1:8" x14ac:dyDescent="0.35">
      <c r="A6" t="s">
        <v>20</v>
      </c>
      <c r="B6" t="s">
        <v>4201</v>
      </c>
      <c r="G6" s="5" t="s">
        <v>4219</v>
      </c>
    </row>
    <row r="7" spans="1:8" x14ac:dyDescent="0.35">
      <c r="A7" t="s">
        <v>9</v>
      </c>
      <c r="B7" t="s">
        <v>4190</v>
      </c>
      <c r="G7" s="5" t="s">
        <v>4220</v>
      </c>
    </row>
    <row r="8" spans="1:8" x14ac:dyDescent="0.35">
      <c r="A8" t="s">
        <v>10</v>
      </c>
      <c r="B8" t="s">
        <v>4191</v>
      </c>
      <c r="G8" s="5" t="s">
        <v>4221</v>
      </c>
    </row>
    <row r="9" spans="1:8" x14ac:dyDescent="0.35">
      <c r="A9" t="s">
        <v>14</v>
      </c>
      <c r="B9" t="s">
        <v>4195</v>
      </c>
      <c r="G9" s="5" t="s">
        <v>4222</v>
      </c>
    </row>
    <row r="10" spans="1:8" x14ac:dyDescent="0.35">
      <c r="A10" t="s">
        <v>21</v>
      </c>
      <c r="B10" t="s">
        <v>4202</v>
      </c>
      <c r="G10" s="5" t="s">
        <v>4223</v>
      </c>
    </row>
    <row r="11" spans="1:8" x14ac:dyDescent="0.35">
      <c r="A11" t="s">
        <v>13</v>
      </c>
      <c r="B11" t="s">
        <v>4194</v>
      </c>
      <c r="G11" s="5" t="s">
        <v>4224</v>
      </c>
    </row>
    <row r="12" spans="1:8" x14ac:dyDescent="0.35">
      <c r="G12" s="5" t="s">
        <v>4225</v>
      </c>
    </row>
    <row r="13" spans="1:8" x14ac:dyDescent="0.35">
      <c r="A13" t="s">
        <v>23</v>
      </c>
      <c r="B13" t="s">
        <v>4204</v>
      </c>
      <c r="G13" s="5" t="s">
        <v>4226</v>
      </c>
    </row>
    <row r="14" spans="1:8" x14ac:dyDescent="0.35">
      <c r="A14" t="s">
        <v>22</v>
      </c>
      <c r="B14" t="s">
        <v>4203</v>
      </c>
      <c r="G14" s="5" t="s">
        <v>4227</v>
      </c>
    </row>
    <row r="15" spans="1:8" x14ac:dyDescent="0.35">
      <c r="A15" t="s">
        <v>24</v>
      </c>
      <c r="B15" t="s">
        <v>4205</v>
      </c>
    </row>
    <row r="16" spans="1:8" x14ac:dyDescent="0.35">
      <c r="A16" t="s">
        <v>17</v>
      </c>
      <c r="B16" t="s">
        <v>4198</v>
      </c>
    </row>
    <row r="17" spans="1:2" x14ac:dyDescent="0.35">
      <c r="A17" t="s">
        <v>15</v>
      </c>
      <c r="B17" t="s">
        <v>4196</v>
      </c>
    </row>
    <row r="18" spans="1:2" x14ac:dyDescent="0.35">
      <c r="A18" t="s">
        <v>18</v>
      </c>
      <c r="B18" t="s">
        <v>4199</v>
      </c>
    </row>
  </sheetData>
  <autoFilter ref="A1:B1">
    <sortState ref="A2:B17">
      <sortCondition ref="A1"/>
    </sortState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Main</vt:lpstr>
      <vt:lpstr>Activity_type</vt:lpstr>
      <vt:lpstr>mapping</vt:lpstr>
      <vt:lpstr>Type&amp;Month</vt:lpstr>
      <vt:lpstr>abrief</vt:lpstr>
      <vt:lpstr>aquiry</vt:lpstr>
      <vt:lpstr>cemail</vt:lpstr>
      <vt:lpstr>clf</vt:lpstr>
      <vt:lpstr>cphone</vt:lpstr>
      <vt:lpstr>csite</vt:lpstr>
      <vt:lpstr>email</vt:lpstr>
      <vt:lpstr>eve</vt:lpstr>
      <vt:lpstr>fnet</vt:lpstr>
      <vt:lpstr>idc</vt:lpstr>
      <vt:lpstr>pf</vt:lpstr>
      <vt:lpstr>sig</vt:lpstr>
      <vt:lpstr>sum</vt:lpstr>
      <vt:lpstr>sym</vt:lpstr>
      <vt:lpstr>tbd</vt:lpstr>
      <vt:lpstr>work</vt:lpstr>
    </vt:vector>
  </TitlesOfParts>
  <Company>Gartner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Gupta,Himanshu</dc:creator>
  <cp:lastModifiedBy>Gupta,Himanshu</cp:lastModifiedBy>
  <dcterms:created xsi:type="dcterms:W3CDTF">2019-01-04T06:51:28Z</dcterms:created>
  <dcterms:modified xsi:type="dcterms:W3CDTF">2019-03-07T07:22:13Z</dcterms:modified>
</cp:coreProperties>
</file>